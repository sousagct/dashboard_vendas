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AUDIO\Downloads\"/>
    </mc:Choice>
  </mc:AlternateContent>
  <xr:revisionPtr revIDLastSave="0" documentId="8_{BB7727A5-DEAE-45D1-A4E1-B9912365595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se de Dados" sheetId="1" r:id="rId1"/>
    <sheet name="Dashboard" sheetId="2" r:id="rId2"/>
    <sheet name="Dashboard_Data" sheetId="3" state="hidden" r:id="rId3"/>
  </sheets>
  <definedNames>
    <definedName name="SlicerCache_Table_1_Col_13">#N/A</definedName>
    <definedName name="SlicerCache_Table_1_Col_3">#N/A</definedName>
    <definedName name="SlicerCache_Table_1_Col_6">#N/A</definedName>
    <definedName name="Z_3DEC6B1A_B214_4229_A014_2FD05C8D2DE0_.wvu.FilterData" localSheetId="0" hidden="1">'Base de Dados'!$A$1:$N$101</definedName>
  </definedNames>
  <calcPr calcId="191029"/>
  <customWorkbookViews>
    <customWorkbookView name="Filtro 1" guid="{3DEC6B1A-B214-4229-A014-2FD05C8D2DE0}" maximized="1" windowWidth="0" windowHeight="0" activeSheetId="0"/>
  </customWorkbookViews>
  <pivotCaches>
    <pivotCache cacheId="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1" l="1"/>
  <c r="I101" i="1"/>
  <c r="N101" i="1" s="1"/>
  <c r="L100" i="1"/>
  <c r="I100" i="1"/>
  <c r="N100" i="1" s="1"/>
  <c r="L99" i="1"/>
  <c r="I99" i="1"/>
  <c r="N99" i="1" s="1"/>
  <c r="L98" i="1"/>
  <c r="I98" i="1"/>
  <c r="N98" i="1" s="1"/>
  <c r="L97" i="1"/>
  <c r="I97" i="1"/>
  <c r="N97" i="1" s="1"/>
  <c r="L96" i="1"/>
  <c r="I96" i="1"/>
  <c r="N96" i="1" s="1"/>
  <c r="L95" i="1"/>
  <c r="I95" i="1"/>
  <c r="N95" i="1" s="1"/>
  <c r="L94" i="1"/>
  <c r="I94" i="1"/>
  <c r="N94" i="1" s="1"/>
  <c r="L93" i="1"/>
  <c r="I93" i="1"/>
  <c r="N93" i="1" s="1"/>
  <c r="L92" i="1"/>
  <c r="I92" i="1"/>
  <c r="N92" i="1" s="1"/>
  <c r="L91" i="1"/>
  <c r="I91" i="1"/>
  <c r="N91" i="1" s="1"/>
  <c r="L90" i="1"/>
  <c r="I90" i="1"/>
  <c r="N90" i="1" s="1"/>
  <c r="L89" i="1"/>
  <c r="I89" i="1"/>
  <c r="N89" i="1" s="1"/>
  <c r="L88" i="1"/>
  <c r="I88" i="1"/>
  <c r="N88" i="1" s="1"/>
  <c r="L87" i="1"/>
  <c r="I87" i="1"/>
  <c r="N87" i="1" s="1"/>
  <c r="L86" i="1"/>
  <c r="I86" i="1"/>
  <c r="N86" i="1" s="1"/>
  <c r="L85" i="1"/>
  <c r="I85" i="1"/>
  <c r="N85" i="1" s="1"/>
  <c r="L84" i="1"/>
  <c r="I84" i="1"/>
  <c r="N84" i="1" s="1"/>
  <c r="L83" i="1"/>
  <c r="I83" i="1"/>
  <c r="N83" i="1" s="1"/>
  <c r="L82" i="1"/>
  <c r="I82" i="1"/>
  <c r="N82" i="1" s="1"/>
  <c r="L81" i="1"/>
  <c r="I81" i="1"/>
  <c r="N81" i="1" s="1"/>
  <c r="L80" i="1"/>
  <c r="I80" i="1"/>
  <c r="N80" i="1" s="1"/>
  <c r="L79" i="1"/>
  <c r="I79" i="1"/>
  <c r="N79" i="1" s="1"/>
  <c r="L78" i="1"/>
  <c r="I78" i="1"/>
  <c r="N78" i="1" s="1"/>
  <c r="L77" i="1"/>
  <c r="I77" i="1"/>
  <c r="N77" i="1" s="1"/>
  <c r="L76" i="1"/>
  <c r="I76" i="1"/>
  <c r="N76" i="1" s="1"/>
  <c r="L75" i="1"/>
  <c r="I75" i="1"/>
  <c r="N75" i="1" s="1"/>
  <c r="L74" i="1"/>
  <c r="I74" i="1"/>
  <c r="N74" i="1" s="1"/>
  <c r="L73" i="1"/>
  <c r="I73" i="1"/>
  <c r="N73" i="1" s="1"/>
  <c r="L72" i="1"/>
  <c r="I72" i="1"/>
  <c r="N72" i="1" s="1"/>
  <c r="L71" i="1"/>
  <c r="I71" i="1"/>
  <c r="N71" i="1" s="1"/>
  <c r="L70" i="1"/>
  <c r="I70" i="1"/>
  <c r="N70" i="1" s="1"/>
  <c r="L69" i="1"/>
  <c r="I69" i="1"/>
  <c r="N69" i="1" s="1"/>
  <c r="L68" i="1"/>
  <c r="I68" i="1"/>
  <c r="N68" i="1" s="1"/>
  <c r="L67" i="1"/>
  <c r="I67" i="1"/>
  <c r="N67" i="1" s="1"/>
  <c r="L66" i="1"/>
  <c r="I66" i="1"/>
  <c r="N66" i="1" s="1"/>
  <c r="L65" i="1"/>
  <c r="I65" i="1"/>
  <c r="N65" i="1" s="1"/>
  <c r="L64" i="1"/>
  <c r="I64" i="1"/>
  <c r="N64" i="1" s="1"/>
  <c r="L63" i="1"/>
  <c r="I63" i="1"/>
  <c r="N63" i="1" s="1"/>
  <c r="L62" i="1"/>
  <c r="I62" i="1"/>
  <c r="N62" i="1" s="1"/>
  <c r="L61" i="1"/>
  <c r="I61" i="1"/>
  <c r="N61" i="1" s="1"/>
  <c r="L60" i="1"/>
  <c r="I60" i="1"/>
  <c r="N60" i="1" s="1"/>
  <c r="L59" i="1"/>
  <c r="I59" i="1"/>
  <c r="N59" i="1" s="1"/>
  <c r="L58" i="1"/>
  <c r="I58" i="1"/>
  <c r="N58" i="1" s="1"/>
  <c r="L57" i="1"/>
  <c r="I57" i="1"/>
  <c r="N57" i="1" s="1"/>
  <c r="L56" i="1"/>
  <c r="I56" i="1"/>
  <c r="N56" i="1" s="1"/>
  <c r="L55" i="1"/>
  <c r="I55" i="1"/>
  <c r="N55" i="1" s="1"/>
  <c r="L54" i="1"/>
  <c r="I54" i="1"/>
  <c r="N54" i="1" s="1"/>
  <c r="L53" i="1"/>
  <c r="I53" i="1"/>
  <c r="N53" i="1" s="1"/>
  <c r="L52" i="1"/>
  <c r="I52" i="1"/>
  <c r="N52" i="1" s="1"/>
  <c r="L51" i="1"/>
  <c r="I51" i="1"/>
  <c r="N51" i="1" s="1"/>
  <c r="L50" i="1"/>
  <c r="I50" i="1"/>
  <c r="N50" i="1" s="1"/>
  <c r="L49" i="1"/>
  <c r="I49" i="1"/>
  <c r="N49" i="1" s="1"/>
  <c r="L48" i="1"/>
  <c r="I48" i="1"/>
  <c r="N48" i="1" s="1"/>
  <c r="L47" i="1"/>
  <c r="I47" i="1"/>
  <c r="N47" i="1" s="1"/>
  <c r="L46" i="1"/>
  <c r="I46" i="1"/>
  <c r="N46" i="1" s="1"/>
  <c r="L45" i="1"/>
  <c r="I45" i="1"/>
  <c r="N45" i="1" s="1"/>
  <c r="L44" i="1"/>
  <c r="I44" i="1"/>
  <c r="N44" i="1" s="1"/>
  <c r="L43" i="1"/>
  <c r="I43" i="1"/>
  <c r="N43" i="1" s="1"/>
  <c r="L42" i="1"/>
  <c r="I42" i="1"/>
  <c r="N42" i="1" s="1"/>
  <c r="L41" i="1"/>
  <c r="I41" i="1"/>
  <c r="N41" i="1" s="1"/>
  <c r="L40" i="1"/>
  <c r="I40" i="1"/>
  <c r="N40" i="1" s="1"/>
  <c r="L39" i="1"/>
  <c r="I39" i="1"/>
  <c r="N39" i="1" s="1"/>
  <c r="L38" i="1"/>
  <c r="I38" i="1"/>
  <c r="N38" i="1" s="1"/>
  <c r="L37" i="1"/>
  <c r="I37" i="1"/>
  <c r="N37" i="1" s="1"/>
  <c r="L36" i="1"/>
  <c r="I36" i="1"/>
  <c r="N36" i="1" s="1"/>
  <c r="L35" i="1"/>
  <c r="I35" i="1"/>
  <c r="N35" i="1" s="1"/>
  <c r="L34" i="1"/>
  <c r="I34" i="1"/>
  <c r="N34" i="1" s="1"/>
  <c r="L33" i="1"/>
  <c r="I33" i="1"/>
  <c r="N33" i="1" s="1"/>
  <c r="L32" i="1"/>
  <c r="I32" i="1"/>
  <c r="N32" i="1" s="1"/>
  <c r="L31" i="1"/>
  <c r="I31" i="1"/>
  <c r="N31" i="1" s="1"/>
  <c r="L30" i="1"/>
  <c r="I30" i="1"/>
  <c r="N30" i="1" s="1"/>
  <c r="L29" i="1"/>
  <c r="I29" i="1"/>
  <c r="N29" i="1" s="1"/>
  <c r="L28" i="1"/>
  <c r="I28" i="1"/>
  <c r="N28" i="1" s="1"/>
  <c r="L27" i="1"/>
  <c r="I27" i="1"/>
  <c r="N27" i="1" s="1"/>
  <c r="L26" i="1"/>
  <c r="I26" i="1"/>
  <c r="N26" i="1" s="1"/>
  <c r="L25" i="1"/>
  <c r="I25" i="1"/>
  <c r="N25" i="1" s="1"/>
  <c r="L24" i="1"/>
  <c r="I24" i="1"/>
  <c r="N24" i="1" s="1"/>
  <c r="L23" i="1"/>
  <c r="I23" i="1"/>
  <c r="N23" i="1" s="1"/>
  <c r="L22" i="1"/>
  <c r="I22" i="1"/>
  <c r="N22" i="1" s="1"/>
  <c r="L21" i="1"/>
  <c r="I21" i="1"/>
  <c r="N21" i="1" s="1"/>
  <c r="L20" i="1"/>
  <c r="I20" i="1"/>
  <c r="N20" i="1" s="1"/>
  <c r="L19" i="1"/>
  <c r="I19" i="1"/>
  <c r="N19" i="1" s="1"/>
  <c r="L18" i="1"/>
  <c r="I18" i="1"/>
  <c r="N18" i="1" s="1"/>
  <c r="L17" i="1"/>
  <c r="I17" i="1"/>
  <c r="N17" i="1" s="1"/>
  <c r="L16" i="1"/>
  <c r="I16" i="1"/>
  <c r="L15" i="1"/>
  <c r="I15" i="1"/>
  <c r="N15" i="1" s="1"/>
  <c r="L14" i="1"/>
  <c r="I14" i="1"/>
  <c r="N14" i="1" s="1"/>
  <c r="L13" i="1"/>
  <c r="I13" i="1"/>
  <c r="N13" i="1" s="1"/>
  <c r="L12" i="1"/>
  <c r="I12" i="1"/>
  <c r="N12" i="1" s="1"/>
  <c r="L11" i="1"/>
  <c r="I11" i="1"/>
  <c r="N11" i="1" s="1"/>
  <c r="L10" i="1"/>
  <c r="I10" i="1"/>
  <c r="L9" i="1"/>
  <c r="I9" i="1"/>
  <c r="N9" i="1" s="1"/>
  <c r="L8" i="1"/>
  <c r="I8" i="1"/>
  <c r="N8" i="1" s="1"/>
  <c r="L7" i="1"/>
  <c r="I7" i="1"/>
  <c r="N7" i="1" s="1"/>
  <c r="L6" i="1"/>
  <c r="I6" i="1"/>
  <c r="N6" i="1" s="1"/>
  <c r="L5" i="1"/>
  <c r="I5" i="1"/>
  <c r="N5" i="1" s="1"/>
  <c r="L4" i="1"/>
  <c r="I4" i="1"/>
  <c r="N4" i="1" s="1"/>
  <c r="L3" i="1"/>
  <c r="I3" i="1"/>
  <c r="N3" i="1" s="1"/>
  <c r="L2" i="1"/>
  <c r="I2" i="1"/>
  <c r="N2" i="1" s="1"/>
  <c r="N10" i="1" l="1"/>
  <c r="N16" i="1"/>
</calcChain>
</file>

<file path=xl/sharedStrings.xml><?xml version="1.0" encoding="utf-8"?>
<sst xmlns="http://schemas.openxmlformats.org/spreadsheetml/2006/main" count="730" uniqueCount="242">
  <si>
    <t>Produto</t>
  </si>
  <si>
    <t>SUM de Valor Total com Desconto</t>
  </si>
  <si>
    <t>ID da Venda</t>
  </si>
  <si>
    <t>Método de pagamento</t>
  </si>
  <si>
    <t>Data da venda</t>
  </si>
  <si>
    <t>Mês</t>
  </si>
  <si>
    <t>Fone de Ouvido</t>
  </si>
  <si>
    <t>Nome do cliente</t>
  </si>
  <si>
    <t>Telefone cliente</t>
  </si>
  <si>
    <t>Quantidade</t>
  </si>
  <si>
    <t>Valor</t>
  </si>
  <si>
    <t>cartão</t>
  </si>
  <si>
    <t>Valor Total</t>
  </si>
  <si>
    <t>Monitor</t>
  </si>
  <si>
    <t>Teve Desconto?</t>
  </si>
  <si>
    <t>dinheiro</t>
  </si>
  <si>
    <t>Valor do Desconto</t>
  </si>
  <si>
    <t>Retirada ou envio</t>
  </si>
  <si>
    <t>Mouse</t>
  </si>
  <si>
    <t>Valor Total com Desconto</t>
  </si>
  <si>
    <t>pix</t>
  </si>
  <si>
    <t>Notebook</t>
  </si>
  <si>
    <t>VND-001</t>
  </si>
  <si>
    <t>Smartphone</t>
  </si>
  <si>
    <t>Teclado</t>
  </si>
  <si>
    <t>Janeiro</t>
  </si>
  <si>
    <t>Ana Silva</t>
  </si>
  <si>
    <t>não</t>
  </si>
  <si>
    <t>VND-002</t>
  </si>
  <si>
    <t>Bruno Souza</t>
  </si>
  <si>
    <t>sim</t>
  </si>
  <si>
    <t>retirada</t>
  </si>
  <si>
    <t>VND-003</t>
  </si>
  <si>
    <t>Fevereiro</t>
  </si>
  <si>
    <t>Carlos Lima</t>
  </si>
  <si>
    <t>envio</t>
  </si>
  <si>
    <t>VND-004</t>
  </si>
  <si>
    <t>Daniela Alves</t>
  </si>
  <si>
    <t>VND-005</t>
  </si>
  <si>
    <t>Março</t>
  </si>
  <si>
    <t>Eduardo Costa</t>
  </si>
  <si>
    <t>VND-006</t>
  </si>
  <si>
    <t>Fernanda Rocha</t>
  </si>
  <si>
    <t>VND-007</t>
  </si>
  <si>
    <t>Abril</t>
  </si>
  <si>
    <t>Gabriel Martins</t>
  </si>
  <si>
    <t>VND-008</t>
  </si>
  <si>
    <t>Helena Gomes</t>
  </si>
  <si>
    <t>VND-009</t>
  </si>
  <si>
    <t>Maio</t>
  </si>
  <si>
    <t>Igor Ferreira</t>
  </si>
  <si>
    <t>VND-010</t>
  </si>
  <si>
    <t>Juliana Mendes</t>
  </si>
  <si>
    <t>VND-011</t>
  </si>
  <si>
    <t>Junho</t>
  </si>
  <si>
    <t>Lucas Castro</t>
  </si>
  <si>
    <t>VND-012</t>
  </si>
  <si>
    <t>Mariana Silva</t>
  </si>
  <si>
    <t>VND-013</t>
  </si>
  <si>
    <t>Julho</t>
  </si>
  <si>
    <t>Nicolas Pereira</t>
  </si>
  <si>
    <t>VND-014</t>
  </si>
  <si>
    <t>Olivia Dias</t>
  </si>
  <si>
    <t>VND-015</t>
  </si>
  <si>
    <t>Agosto</t>
  </si>
  <si>
    <t>Pedro Ribeiro</t>
  </si>
  <si>
    <t>VND-016</t>
  </si>
  <si>
    <t>Quintino Lopes</t>
  </si>
  <si>
    <t>VND-017</t>
  </si>
  <si>
    <t>Setembro</t>
  </si>
  <si>
    <t>Rafaela Carvalho</t>
  </si>
  <si>
    <t>VND-018</t>
  </si>
  <si>
    <t>Samuel Nogueira</t>
  </si>
  <si>
    <t>VND-019</t>
  </si>
  <si>
    <t>Outubro</t>
  </si>
  <si>
    <t>Tatiana Barros</t>
  </si>
  <si>
    <t>VND-020</t>
  </si>
  <si>
    <t>Ubirajara Pinto</t>
  </si>
  <si>
    <t>VND-021</t>
  </si>
  <si>
    <t>Novembro</t>
  </si>
  <si>
    <t>Cliente 21</t>
  </si>
  <si>
    <t>VND-022</t>
  </si>
  <si>
    <t>Cliente 22</t>
  </si>
  <si>
    <t>VND-023</t>
  </si>
  <si>
    <t>Cliente 23</t>
  </si>
  <si>
    <t>VND-024</t>
  </si>
  <si>
    <t>Cliente 24</t>
  </si>
  <si>
    <t>VND-025</t>
  </si>
  <si>
    <t>Cliente 25</t>
  </si>
  <si>
    <t>VND-026</t>
  </si>
  <si>
    <t>Cliente 26</t>
  </si>
  <si>
    <t>VND-027</t>
  </si>
  <si>
    <t>Cliente 27</t>
  </si>
  <si>
    <t>VND-028</t>
  </si>
  <si>
    <t>Cliente 28</t>
  </si>
  <si>
    <t>VND-029</t>
  </si>
  <si>
    <t>Cliente 29</t>
  </si>
  <si>
    <t>VND-030</t>
  </si>
  <si>
    <t>Cliente 30</t>
  </si>
  <si>
    <t>VND-031</t>
  </si>
  <si>
    <t>Cliente 31</t>
  </si>
  <si>
    <t>VND-032</t>
  </si>
  <si>
    <t>Cliente 32</t>
  </si>
  <si>
    <t>VND-033</t>
  </si>
  <si>
    <t>Cliente 33</t>
  </si>
  <si>
    <t>VND-034</t>
  </si>
  <si>
    <t>Cliente 34</t>
  </si>
  <si>
    <t>VND-035</t>
  </si>
  <si>
    <t>Cliente 35</t>
  </si>
  <si>
    <t>VND-036</t>
  </si>
  <si>
    <t>Dezembro</t>
  </si>
  <si>
    <t>Cliente 36</t>
  </si>
  <si>
    <t>VND-037</t>
  </si>
  <si>
    <t>Cliente 37</t>
  </si>
  <si>
    <t>VND-038</t>
  </si>
  <si>
    <t>Cliente 38</t>
  </si>
  <si>
    <t>VND-039</t>
  </si>
  <si>
    <t>Cliente 39</t>
  </si>
  <si>
    <t>VND-040</t>
  </si>
  <si>
    <t>Cliente 40</t>
  </si>
  <si>
    <t>VND-041</t>
  </si>
  <si>
    <t>Cliente 41</t>
  </si>
  <si>
    <t>VND-042</t>
  </si>
  <si>
    <t>Cliente 42</t>
  </si>
  <si>
    <t>VND-043</t>
  </si>
  <si>
    <t>Cliente 43</t>
  </si>
  <si>
    <t>VND-044</t>
  </si>
  <si>
    <t>Cliente 44</t>
  </si>
  <si>
    <t>VND-045</t>
  </si>
  <si>
    <t>Cliente 45</t>
  </si>
  <si>
    <t>VND-046</t>
  </si>
  <si>
    <t>Cliente 46</t>
  </si>
  <si>
    <t>VND-047</t>
  </si>
  <si>
    <t>Cliente 47</t>
  </si>
  <si>
    <t>VND-048</t>
  </si>
  <si>
    <t>Cliente 48</t>
  </si>
  <si>
    <t>VND-049</t>
  </si>
  <si>
    <t>Cliente 49</t>
  </si>
  <si>
    <t>VND-050</t>
  </si>
  <si>
    <t>Cliente 50</t>
  </si>
  <si>
    <t>VND-051</t>
  </si>
  <si>
    <t>Cliente 51</t>
  </si>
  <si>
    <t>VND-052</t>
  </si>
  <si>
    <t>Cliente 52</t>
  </si>
  <si>
    <t>VND-053</t>
  </si>
  <si>
    <t>Cliente 53</t>
  </si>
  <si>
    <t>VND-054</t>
  </si>
  <si>
    <t>Cliente 54</t>
  </si>
  <si>
    <t>VND-055</t>
  </si>
  <si>
    <t>Cliente 55</t>
  </si>
  <si>
    <t>VND-056</t>
  </si>
  <si>
    <t>Cliente 56</t>
  </si>
  <si>
    <t>VND-057</t>
  </si>
  <si>
    <t>Cliente 57</t>
  </si>
  <si>
    <t>VND-058</t>
  </si>
  <si>
    <t>Cliente 58</t>
  </si>
  <si>
    <t>VND-059</t>
  </si>
  <si>
    <t>Cliente 59</t>
  </si>
  <si>
    <t>VND-060</t>
  </si>
  <si>
    <t>Cliente 60</t>
  </si>
  <si>
    <t>VND-061</t>
  </si>
  <si>
    <t>Cliente 61</t>
  </si>
  <si>
    <t>VND-062</t>
  </si>
  <si>
    <t>Cliente 62</t>
  </si>
  <si>
    <t>VND-063</t>
  </si>
  <si>
    <t>Cliente 63</t>
  </si>
  <si>
    <t>VND-064</t>
  </si>
  <si>
    <t>Cliente 64</t>
  </si>
  <si>
    <t>VND-065</t>
  </si>
  <si>
    <t>Cliente 65</t>
  </si>
  <si>
    <t>VND-066</t>
  </si>
  <si>
    <t>Cliente 66</t>
  </si>
  <si>
    <t>VND-067</t>
  </si>
  <si>
    <t>Cliente 67</t>
  </si>
  <si>
    <t>VND-068</t>
  </si>
  <si>
    <t>Cliente 68</t>
  </si>
  <si>
    <t>VND-069</t>
  </si>
  <si>
    <t>Cliente 69</t>
  </si>
  <si>
    <t>VND-070</t>
  </si>
  <si>
    <t>Cliente 70</t>
  </si>
  <si>
    <t>VND-071</t>
  </si>
  <si>
    <t>Cliente 71</t>
  </si>
  <si>
    <t>VND-072</t>
  </si>
  <si>
    <t>Cliente 72</t>
  </si>
  <si>
    <t>VND-073</t>
  </si>
  <si>
    <t>Cliente 73</t>
  </si>
  <si>
    <t>VND-074</t>
  </si>
  <si>
    <t>Cliente 74</t>
  </si>
  <si>
    <t>VND-075</t>
  </si>
  <si>
    <t>Cliente 75</t>
  </si>
  <si>
    <t>VND-076</t>
  </si>
  <si>
    <t>Cliente 76</t>
  </si>
  <si>
    <t>VND-077</t>
  </si>
  <si>
    <t>Cliente 77</t>
  </si>
  <si>
    <t>VND-078</t>
  </si>
  <si>
    <t>Cliente 78</t>
  </si>
  <si>
    <t>VND-079</t>
  </si>
  <si>
    <t>Cliente 79</t>
  </si>
  <si>
    <t>VND-080</t>
  </si>
  <si>
    <t>Cliente 80</t>
  </si>
  <si>
    <t>VND-081</t>
  </si>
  <si>
    <t>Cliente 81</t>
  </si>
  <si>
    <t>VND-082</t>
  </si>
  <si>
    <t>Cliente 82</t>
  </si>
  <si>
    <t>VND-083</t>
  </si>
  <si>
    <t>Cliente 83</t>
  </si>
  <si>
    <t>VND-084</t>
  </si>
  <si>
    <t>Cliente 84</t>
  </si>
  <si>
    <t>VND-085</t>
  </si>
  <si>
    <t>Cliente 85</t>
  </si>
  <si>
    <t>VND-086</t>
  </si>
  <si>
    <t>Cliente 86</t>
  </si>
  <si>
    <t>VND-087</t>
  </si>
  <si>
    <t>Cliente 87</t>
  </si>
  <si>
    <t>VND-088</t>
  </si>
  <si>
    <t>Cliente 88</t>
  </si>
  <si>
    <t>VND-089</t>
  </si>
  <si>
    <t>Cliente 89</t>
  </si>
  <si>
    <t>VND-090</t>
  </si>
  <si>
    <t>Cliente 90</t>
  </si>
  <si>
    <t>VND-091</t>
  </si>
  <si>
    <t>Cliente 91</t>
  </si>
  <si>
    <t>VND-092</t>
  </si>
  <si>
    <t>Cliente 92</t>
  </si>
  <si>
    <t>VND-093</t>
  </si>
  <si>
    <t>Cliente 93</t>
  </si>
  <si>
    <t>VND-094</t>
  </si>
  <si>
    <t>Cliente 94</t>
  </si>
  <si>
    <t>VND-095</t>
  </si>
  <si>
    <t>Cliente 95</t>
  </si>
  <si>
    <t>VND-096</t>
  </si>
  <si>
    <t>Cliente 96</t>
  </si>
  <si>
    <t>VND-097</t>
  </si>
  <si>
    <t>Cliente 97</t>
  </si>
  <si>
    <t>VND-098</t>
  </si>
  <si>
    <t>Cliente 98</t>
  </si>
  <si>
    <t>VND-099</t>
  </si>
  <si>
    <t>Cliente 99</t>
  </si>
  <si>
    <t>VND-100</t>
  </si>
  <si>
    <t>Cliente 100</t>
  </si>
  <si>
    <t>Dashboard de Vendas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</si>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</sst>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yyyy\-mm\-dd"/>
    <numFmt numFmtId="165" formatCode="&quot;R$&quot;#,##0.00"/>
    <numFmt numFmtId="166" formatCode="0.0%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  <font>
      <b/>
      <sz val="24"/>
      <color rgb="FF435E91"/>
      <name val="Montserrat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ECECF4"/>
        <bgColor rgb="FFECECF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" fillId="3" borderId="0" xfId="0" applyFont="1" applyFill="1"/>
    <xf numFmtId="0" fontId="4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2">
    <cellStyle name="Moeda" xfId="1" builtinId="4"/>
    <cellStyle name="Normal" xfId="0" builtinId="0"/>
  </cellStyles>
  <dxfs count="27">
    <dxf>
      <alignment horizontal="left" textRotation="0" wrapText="0" indent="0" justifyLastLine="0" shrinkToFit="0" readingOrder="0"/>
    </dxf>
    <dxf>
      <border outline="0">
        <left style="thin">
          <color rgb="FF73777E"/>
        </left>
        <right style="thin">
          <color rgb="FF73777E"/>
        </right>
      </border>
    </dxf>
    <dxf>
      <border outline="0"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</border>
    </dxf>
    <dxf>
      <border outline="0">
        <left style="thin">
          <color rgb="FF73777E"/>
        </left>
      </border>
    </dxf>
    <dxf>
      <alignment horizontal="center" textRotation="0" wrapText="0" indent="0" justifyLastLine="0" shrinkToFit="0" readingOrder="0"/>
      <border outline="0">
        <right style="thin">
          <color rgb="FF73777E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left style="thin">
          <color rgb="FF73777E"/>
        </left>
        <right style="thin">
          <color rgb="FF73777E"/>
        </right>
      </border>
    </dxf>
    <dxf>
      <alignment horizontal="center" textRotation="0" wrapText="0" indent="0" justifyLastLine="0" shrinkToFit="0" readingOrder="0"/>
      <border outline="0">
        <right style="thin">
          <color rgb="FF73777E"/>
        </right>
      </border>
    </dxf>
    <dxf>
      <alignment vertical="bottom" textRotation="0" wrapText="1" indent="0" justifyLastLine="0" shrinkToFit="0" readingOrder="0"/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26"/>
      <tableStyleElement type="headerRow" dxfId="19"/>
      <tableStyleElement type="totalRow" dxfId="15"/>
      <tableStyleElement type="firstSubtotalRow" dxfId="18"/>
      <tableStyleElement type="secondSubtotalRow" dxfId="17"/>
      <tableStyleElement type="thirdSubtotalRow" dxfId="16"/>
      <tableStyleElement type="firstColumnSubheading" dxfId="22"/>
      <tableStyleElement type="secondColumnSubheading" dxfId="21"/>
      <tableStyleElement type="thirdColumnSubheading" dxfId="20"/>
      <tableStyleElement type="firstRowSubheading" dxfId="25"/>
      <tableStyleElement type="secondRowSubheading" dxfId="24"/>
      <tableStyleElement type="thirdRowSubheading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Vendas por Produto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'Base de Dados'!$N$1</c:f>
              <c:strCache>
                <c:ptCount val="1"/>
                <c:pt idx="0">
                  <c:v>Valor Total com Desconto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'Base de Dados'!$F$2:$F$101</c:f>
              <c:strCache>
                <c:ptCount val="100"/>
                <c:pt idx="0">
                  <c:v>Smartphone</c:v>
                </c:pt>
                <c:pt idx="1">
                  <c:v>Notebook</c:v>
                </c:pt>
                <c:pt idx="2">
                  <c:v>Fone de Ouvido</c:v>
                </c:pt>
                <c:pt idx="3">
                  <c:v>Monitor</c:v>
                </c:pt>
                <c:pt idx="4">
                  <c:v>Smartphone</c:v>
                </c:pt>
                <c:pt idx="5">
                  <c:v>Teclado</c:v>
                </c:pt>
                <c:pt idx="6">
                  <c:v>Mouse</c:v>
                </c:pt>
                <c:pt idx="7">
                  <c:v>Notebook</c:v>
                </c:pt>
                <c:pt idx="8">
                  <c:v>Fone de Ouvido</c:v>
                </c:pt>
                <c:pt idx="9">
                  <c:v>Monitor</c:v>
                </c:pt>
                <c:pt idx="10">
                  <c:v>Smartphone</c:v>
                </c:pt>
                <c:pt idx="11">
                  <c:v>Teclado</c:v>
                </c:pt>
                <c:pt idx="12">
                  <c:v>Mouse</c:v>
                </c:pt>
                <c:pt idx="13">
                  <c:v>Notebook</c:v>
                </c:pt>
                <c:pt idx="14">
                  <c:v>Fone de Ouvido</c:v>
                </c:pt>
                <c:pt idx="15">
                  <c:v>Monitor</c:v>
                </c:pt>
                <c:pt idx="16">
                  <c:v>Smartphone</c:v>
                </c:pt>
                <c:pt idx="17">
                  <c:v>Teclado</c:v>
                </c:pt>
                <c:pt idx="18">
                  <c:v>Mouse</c:v>
                </c:pt>
                <c:pt idx="19">
                  <c:v>Notebook</c:v>
                </c:pt>
                <c:pt idx="20">
                  <c:v>Smartphone</c:v>
                </c:pt>
                <c:pt idx="21">
                  <c:v>Notebook</c:v>
                </c:pt>
                <c:pt idx="22">
                  <c:v>Fone de Ouvido</c:v>
                </c:pt>
                <c:pt idx="23">
                  <c:v>Monitor</c:v>
                </c:pt>
                <c:pt idx="24">
                  <c:v>Smartphone</c:v>
                </c:pt>
                <c:pt idx="25">
                  <c:v>Teclado</c:v>
                </c:pt>
                <c:pt idx="26">
                  <c:v>Mouse</c:v>
                </c:pt>
                <c:pt idx="27">
                  <c:v>Notebook</c:v>
                </c:pt>
                <c:pt idx="28">
                  <c:v>Fone de Ouvido</c:v>
                </c:pt>
                <c:pt idx="29">
                  <c:v>Monitor</c:v>
                </c:pt>
                <c:pt idx="30">
                  <c:v>Smartphone</c:v>
                </c:pt>
                <c:pt idx="31">
                  <c:v>Notebook</c:v>
                </c:pt>
                <c:pt idx="32">
                  <c:v>Fone de Ouvido</c:v>
                </c:pt>
                <c:pt idx="33">
                  <c:v>Monitor</c:v>
                </c:pt>
                <c:pt idx="34">
                  <c:v>Smartphone</c:v>
                </c:pt>
                <c:pt idx="35">
                  <c:v>Teclado</c:v>
                </c:pt>
                <c:pt idx="36">
                  <c:v>Mouse</c:v>
                </c:pt>
                <c:pt idx="37">
                  <c:v>Notebook</c:v>
                </c:pt>
                <c:pt idx="38">
                  <c:v>Fone de Ouvido</c:v>
                </c:pt>
                <c:pt idx="39">
                  <c:v>Monitor</c:v>
                </c:pt>
                <c:pt idx="40">
                  <c:v>Smartphone</c:v>
                </c:pt>
                <c:pt idx="41">
                  <c:v>Notebook</c:v>
                </c:pt>
                <c:pt idx="42">
                  <c:v>Fone de Ouvido</c:v>
                </c:pt>
                <c:pt idx="43">
                  <c:v>Monitor</c:v>
                </c:pt>
                <c:pt idx="44">
                  <c:v>Smartphone</c:v>
                </c:pt>
                <c:pt idx="45">
                  <c:v>Teclado</c:v>
                </c:pt>
                <c:pt idx="46">
                  <c:v>Mouse</c:v>
                </c:pt>
                <c:pt idx="47">
                  <c:v>Notebook</c:v>
                </c:pt>
                <c:pt idx="48">
                  <c:v>Fone de Ouvido</c:v>
                </c:pt>
                <c:pt idx="49">
                  <c:v>Monitor</c:v>
                </c:pt>
                <c:pt idx="50">
                  <c:v>Smartphone</c:v>
                </c:pt>
                <c:pt idx="51">
                  <c:v>Notebook</c:v>
                </c:pt>
                <c:pt idx="52">
                  <c:v>Fone de Ouvido</c:v>
                </c:pt>
                <c:pt idx="53">
                  <c:v>Monitor</c:v>
                </c:pt>
                <c:pt idx="54">
                  <c:v>Smartphone</c:v>
                </c:pt>
                <c:pt idx="55">
                  <c:v>Teclado</c:v>
                </c:pt>
                <c:pt idx="56">
                  <c:v>Mouse</c:v>
                </c:pt>
                <c:pt idx="57">
                  <c:v>Notebook</c:v>
                </c:pt>
                <c:pt idx="58">
                  <c:v>Fone de Ouvido</c:v>
                </c:pt>
                <c:pt idx="59">
                  <c:v>Monitor</c:v>
                </c:pt>
                <c:pt idx="60">
                  <c:v>Smartphone</c:v>
                </c:pt>
                <c:pt idx="61">
                  <c:v>Notebook</c:v>
                </c:pt>
                <c:pt idx="62">
                  <c:v>Fone de Ouvido</c:v>
                </c:pt>
                <c:pt idx="63">
                  <c:v>Monitor</c:v>
                </c:pt>
                <c:pt idx="64">
                  <c:v>Smartphone</c:v>
                </c:pt>
                <c:pt idx="65">
                  <c:v>Teclado</c:v>
                </c:pt>
                <c:pt idx="66">
                  <c:v>Mouse</c:v>
                </c:pt>
                <c:pt idx="67">
                  <c:v>Notebook</c:v>
                </c:pt>
                <c:pt idx="68">
                  <c:v>Fone de Ouvido</c:v>
                </c:pt>
                <c:pt idx="69">
                  <c:v>Monitor</c:v>
                </c:pt>
                <c:pt idx="70">
                  <c:v>Smartphone</c:v>
                </c:pt>
                <c:pt idx="71">
                  <c:v>Notebook</c:v>
                </c:pt>
                <c:pt idx="72">
                  <c:v>Fone de Ouvido</c:v>
                </c:pt>
                <c:pt idx="73">
                  <c:v>Monitor</c:v>
                </c:pt>
                <c:pt idx="74">
                  <c:v>Smartphone</c:v>
                </c:pt>
                <c:pt idx="75">
                  <c:v>Teclado</c:v>
                </c:pt>
                <c:pt idx="76">
                  <c:v>Mouse</c:v>
                </c:pt>
                <c:pt idx="77">
                  <c:v>Notebook</c:v>
                </c:pt>
                <c:pt idx="78">
                  <c:v>Fone de Ouvido</c:v>
                </c:pt>
                <c:pt idx="79">
                  <c:v>Monitor</c:v>
                </c:pt>
                <c:pt idx="80">
                  <c:v>Smartphone</c:v>
                </c:pt>
                <c:pt idx="81">
                  <c:v>Notebook</c:v>
                </c:pt>
                <c:pt idx="82">
                  <c:v>Fone de Ouvido</c:v>
                </c:pt>
                <c:pt idx="83">
                  <c:v>Monitor</c:v>
                </c:pt>
                <c:pt idx="84">
                  <c:v>Smartphone</c:v>
                </c:pt>
                <c:pt idx="85">
                  <c:v>Teclado</c:v>
                </c:pt>
                <c:pt idx="86">
                  <c:v>Mouse</c:v>
                </c:pt>
                <c:pt idx="87">
                  <c:v>Notebook</c:v>
                </c:pt>
                <c:pt idx="88">
                  <c:v>Fone de Ouvido</c:v>
                </c:pt>
                <c:pt idx="89">
                  <c:v>Monitor</c:v>
                </c:pt>
                <c:pt idx="90">
                  <c:v>Smartphone</c:v>
                </c:pt>
                <c:pt idx="91">
                  <c:v>Notebook</c:v>
                </c:pt>
                <c:pt idx="92">
                  <c:v>Fone de Ouvido</c:v>
                </c:pt>
                <c:pt idx="93">
                  <c:v>Monitor</c:v>
                </c:pt>
                <c:pt idx="94">
                  <c:v>Smartphone</c:v>
                </c:pt>
                <c:pt idx="95">
                  <c:v>Teclado</c:v>
                </c:pt>
                <c:pt idx="96">
                  <c:v>Mouse</c:v>
                </c:pt>
                <c:pt idx="97">
                  <c:v>Notebook</c:v>
                </c:pt>
                <c:pt idx="98">
                  <c:v>Fone de Ouvido</c:v>
                </c:pt>
                <c:pt idx="99">
                  <c:v>Monitor</c:v>
                </c:pt>
              </c:strCache>
            </c:strRef>
          </c:cat>
          <c:val>
            <c:numRef>
              <c:f>'Base de Dados'!$N$2:$N$101</c:f>
              <c:numCache>
                <c:formatCode>_("R$"* #,##0.00_);_("R$"* \(#,##0.00\);_("R$"* "-"??_);_(@_)</c:formatCode>
                <c:ptCount val="100"/>
                <c:pt idx="0">
                  <c:v>2500</c:v>
                </c:pt>
                <c:pt idx="1">
                  <c:v>4050</c:v>
                </c:pt>
                <c:pt idx="2">
                  <c:v>300</c:v>
                </c:pt>
                <c:pt idx="3">
                  <c:v>720</c:v>
                </c:pt>
                <c:pt idx="4">
                  <c:v>4500</c:v>
                </c:pt>
                <c:pt idx="5">
                  <c:v>200</c:v>
                </c:pt>
                <c:pt idx="6">
                  <c:v>240</c:v>
                </c:pt>
                <c:pt idx="7">
                  <c:v>4050</c:v>
                </c:pt>
                <c:pt idx="8">
                  <c:v>150</c:v>
                </c:pt>
                <c:pt idx="9">
                  <c:v>1440</c:v>
                </c:pt>
                <c:pt idx="10">
                  <c:v>2500</c:v>
                </c:pt>
                <c:pt idx="11">
                  <c:v>400</c:v>
                </c:pt>
                <c:pt idx="12">
                  <c:v>72</c:v>
                </c:pt>
                <c:pt idx="13">
                  <c:v>4500</c:v>
                </c:pt>
                <c:pt idx="14">
                  <c:v>405</c:v>
                </c:pt>
                <c:pt idx="15">
                  <c:v>800</c:v>
                </c:pt>
                <c:pt idx="16">
                  <c:v>2500</c:v>
                </c:pt>
                <c:pt idx="17">
                  <c:v>180</c:v>
                </c:pt>
                <c:pt idx="18">
                  <c:v>160</c:v>
                </c:pt>
                <c:pt idx="19">
                  <c:v>8100</c:v>
                </c:pt>
                <c:pt idx="20">
                  <c:v>2500</c:v>
                </c:pt>
                <c:pt idx="21">
                  <c:v>4050</c:v>
                </c:pt>
                <c:pt idx="22">
                  <c:v>300</c:v>
                </c:pt>
                <c:pt idx="23">
                  <c:v>720</c:v>
                </c:pt>
                <c:pt idx="24">
                  <c:v>4500</c:v>
                </c:pt>
                <c:pt idx="25">
                  <c:v>200</c:v>
                </c:pt>
                <c:pt idx="26">
                  <c:v>240</c:v>
                </c:pt>
                <c:pt idx="27">
                  <c:v>4050</c:v>
                </c:pt>
                <c:pt idx="28">
                  <c:v>150</c:v>
                </c:pt>
                <c:pt idx="29">
                  <c:v>1440</c:v>
                </c:pt>
                <c:pt idx="30">
                  <c:v>2500</c:v>
                </c:pt>
                <c:pt idx="31">
                  <c:v>4050</c:v>
                </c:pt>
                <c:pt idx="32">
                  <c:v>300</c:v>
                </c:pt>
                <c:pt idx="33">
                  <c:v>720</c:v>
                </c:pt>
                <c:pt idx="34">
                  <c:v>4500</c:v>
                </c:pt>
                <c:pt idx="35">
                  <c:v>200</c:v>
                </c:pt>
                <c:pt idx="36">
                  <c:v>240</c:v>
                </c:pt>
                <c:pt idx="37">
                  <c:v>4050</c:v>
                </c:pt>
                <c:pt idx="38">
                  <c:v>150</c:v>
                </c:pt>
                <c:pt idx="39">
                  <c:v>1440</c:v>
                </c:pt>
                <c:pt idx="40">
                  <c:v>2500</c:v>
                </c:pt>
                <c:pt idx="41">
                  <c:v>4050</c:v>
                </c:pt>
                <c:pt idx="42">
                  <c:v>300</c:v>
                </c:pt>
                <c:pt idx="43">
                  <c:v>720</c:v>
                </c:pt>
                <c:pt idx="44">
                  <c:v>4500</c:v>
                </c:pt>
                <c:pt idx="45">
                  <c:v>200</c:v>
                </c:pt>
                <c:pt idx="46">
                  <c:v>240</c:v>
                </c:pt>
                <c:pt idx="47">
                  <c:v>4050</c:v>
                </c:pt>
                <c:pt idx="48">
                  <c:v>150</c:v>
                </c:pt>
                <c:pt idx="49">
                  <c:v>1440</c:v>
                </c:pt>
                <c:pt idx="50">
                  <c:v>2500</c:v>
                </c:pt>
                <c:pt idx="51">
                  <c:v>4050</c:v>
                </c:pt>
                <c:pt idx="52">
                  <c:v>300</c:v>
                </c:pt>
                <c:pt idx="53">
                  <c:v>720</c:v>
                </c:pt>
                <c:pt idx="54">
                  <c:v>4500</c:v>
                </c:pt>
                <c:pt idx="55">
                  <c:v>200</c:v>
                </c:pt>
                <c:pt idx="56">
                  <c:v>240</c:v>
                </c:pt>
                <c:pt idx="57">
                  <c:v>4050</c:v>
                </c:pt>
                <c:pt idx="58">
                  <c:v>150</c:v>
                </c:pt>
                <c:pt idx="59">
                  <c:v>1440</c:v>
                </c:pt>
                <c:pt idx="60">
                  <c:v>2500</c:v>
                </c:pt>
                <c:pt idx="61">
                  <c:v>4050</c:v>
                </c:pt>
                <c:pt idx="62">
                  <c:v>300</c:v>
                </c:pt>
                <c:pt idx="63">
                  <c:v>720</c:v>
                </c:pt>
                <c:pt idx="64">
                  <c:v>4500</c:v>
                </c:pt>
                <c:pt idx="65">
                  <c:v>200</c:v>
                </c:pt>
                <c:pt idx="66">
                  <c:v>240</c:v>
                </c:pt>
                <c:pt idx="67">
                  <c:v>4050</c:v>
                </c:pt>
                <c:pt idx="68">
                  <c:v>150</c:v>
                </c:pt>
                <c:pt idx="69">
                  <c:v>1440</c:v>
                </c:pt>
                <c:pt idx="70">
                  <c:v>2500</c:v>
                </c:pt>
                <c:pt idx="71">
                  <c:v>4050</c:v>
                </c:pt>
                <c:pt idx="72">
                  <c:v>300</c:v>
                </c:pt>
                <c:pt idx="73">
                  <c:v>720</c:v>
                </c:pt>
                <c:pt idx="74">
                  <c:v>4500</c:v>
                </c:pt>
                <c:pt idx="75">
                  <c:v>200</c:v>
                </c:pt>
                <c:pt idx="76">
                  <c:v>240</c:v>
                </c:pt>
                <c:pt idx="77">
                  <c:v>4050</c:v>
                </c:pt>
                <c:pt idx="78">
                  <c:v>150</c:v>
                </c:pt>
                <c:pt idx="79">
                  <c:v>1440</c:v>
                </c:pt>
                <c:pt idx="80">
                  <c:v>2500</c:v>
                </c:pt>
                <c:pt idx="81">
                  <c:v>4050</c:v>
                </c:pt>
                <c:pt idx="82">
                  <c:v>300</c:v>
                </c:pt>
                <c:pt idx="83">
                  <c:v>720</c:v>
                </c:pt>
                <c:pt idx="84">
                  <c:v>4500</c:v>
                </c:pt>
                <c:pt idx="85">
                  <c:v>200</c:v>
                </c:pt>
                <c:pt idx="86">
                  <c:v>240</c:v>
                </c:pt>
                <c:pt idx="87">
                  <c:v>4050</c:v>
                </c:pt>
                <c:pt idx="88">
                  <c:v>150</c:v>
                </c:pt>
                <c:pt idx="89">
                  <c:v>1440</c:v>
                </c:pt>
                <c:pt idx="90">
                  <c:v>2500</c:v>
                </c:pt>
                <c:pt idx="91">
                  <c:v>4050</c:v>
                </c:pt>
                <c:pt idx="92">
                  <c:v>300</c:v>
                </c:pt>
                <c:pt idx="93">
                  <c:v>720</c:v>
                </c:pt>
                <c:pt idx="94">
                  <c:v>4500</c:v>
                </c:pt>
                <c:pt idx="95">
                  <c:v>200</c:v>
                </c:pt>
                <c:pt idx="96">
                  <c:v>240</c:v>
                </c:pt>
                <c:pt idx="97">
                  <c:v>4050</c:v>
                </c:pt>
                <c:pt idx="98">
                  <c:v>150</c:v>
                </c:pt>
                <c:pt idx="99">
                  <c:v>1440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07-473F-B49F-E30782D6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742726"/>
        <c:axId val="31447866"/>
      </c:barChart>
      <c:catAx>
        <c:axId val="470742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447866"/>
        <c:crosses val="autoZero"/>
        <c:auto val="1"/>
        <c:lblAlgn val="ctr"/>
        <c:lblOffset val="100"/>
        <c:noMultiLvlLbl val="1"/>
      </c:catAx>
      <c:valAx>
        <c:axId val="31447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707427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Vendas por Método de Pagamento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B13-427F-948B-19FCA995094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B13-427F-948B-19FCA995094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B13-427F-948B-19FCA995094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B13-427F-948B-19FCA995094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B13-427F-948B-19FCA995094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B13-427F-948B-19FCA995094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B13-427F-948B-19FCA9950945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B13-427F-948B-19FCA9950945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B13-427F-948B-19FCA9950945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B13-427F-948B-19FCA9950945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B13-427F-948B-19FCA9950945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4B13-427F-948B-19FCA9950945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4B13-427F-948B-19FCA9950945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4B13-427F-948B-19FCA9950945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4B13-427F-948B-19FCA9950945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4B13-427F-948B-19FCA9950945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4B13-427F-948B-19FCA9950945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4B13-427F-948B-19FCA9950945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4B13-427F-948B-19FCA9950945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4B13-427F-948B-19FCA9950945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4B13-427F-948B-19FCA9950945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4B13-427F-948B-19FCA9950945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4B13-427F-948B-19FCA9950945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4B13-427F-948B-19FCA9950945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4B13-427F-948B-19FCA9950945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4B13-427F-948B-19FCA9950945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4B13-427F-948B-19FCA9950945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4B13-427F-948B-19FCA9950945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4B13-427F-948B-19FCA9950945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4B13-427F-948B-19FCA9950945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4B13-427F-948B-19FCA9950945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4B13-427F-948B-19FCA9950945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4B13-427F-948B-19FCA9950945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4B13-427F-948B-19FCA9950945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4B13-427F-948B-19FCA9950945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4B13-427F-948B-19FCA9950945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</c:spPr>
            <c:extLst>
              <c:ext xmlns:c16="http://schemas.microsoft.com/office/drawing/2014/chart" uri="{C3380CC4-5D6E-409C-BE32-E72D297353CC}">
                <c16:uniqueId val="{00000049-4B13-427F-948B-19FCA9950945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</c:spPr>
            <c:extLst>
              <c:ext xmlns:c16="http://schemas.microsoft.com/office/drawing/2014/chart" uri="{C3380CC4-5D6E-409C-BE32-E72D297353CC}">
                <c16:uniqueId val="{0000004B-4B13-427F-948B-19FCA9950945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</c:spPr>
            <c:extLst>
              <c:ext xmlns:c16="http://schemas.microsoft.com/office/drawing/2014/chart" uri="{C3380CC4-5D6E-409C-BE32-E72D297353CC}">
                <c16:uniqueId val="{0000004D-4B13-427F-948B-19FCA9950945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</c:spPr>
            <c:extLst>
              <c:ext xmlns:c16="http://schemas.microsoft.com/office/drawing/2014/chart" uri="{C3380CC4-5D6E-409C-BE32-E72D297353CC}">
                <c16:uniqueId val="{0000004F-4B13-427F-948B-19FCA9950945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</c:spPr>
            <c:extLst>
              <c:ext xmlns:c16="http://schemas.microsoft.com/office/drawing/2014/chart" uri="{C3380CC4-5D6E-409C-BE32-E72D297353CC}">
                <c16:uniqueId val="{00000051-4B13-427F-948B-19FCA9950945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</c:spPr>
            <c:extLst>
              <c:ext xmlns:c16="http://schemas.microsoft.com/office/drawing/2014/chart" uri="{C3380CC4-5D6E-409C-BE32-E72D297353CC}">
                <c16:uniqueId val="{00000053-4B13-427F-948B-19FCA9950945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</c:spPr>
            <c:extLst>
              <c:ext xmlns:c16="http://schemas.microsoft.com/office/drawing/2014/chart" uri="{C3380CC4-5D6E-409C-BE32-E72D297353CC}">
                <c16:uniqueId val="{00000055-4B13-427F-948B-19FCA9950945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</c:spPr>
            <c:extLst>
              <c:ext xmlns:c16="http://schemas.microsoft.com/office/drawing/2014/chart" uri="{C3380CC4-5D6E-409C-BE32-E72D297353CC}">
                <c16:uniqueId val="{00000057-4B13-427F-948B-19FCA9950945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</c:spPr>
            <c:extLst>
              <c:ext xmlns:c16="http://schemas.microsoft.com/office/drawing/2014/chart" uri="{C3380CC4-5D6E-409C-BE32-E72D297353CC}">
                <c16:uniqueId val="{00000059-4B13-427F-948B-19FCA9950945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</c:spPr>
            <c:extLst>
              <c:ext xmlns:c16="http://schemas.microsoft.com/office/drawing/2014/chart" uri="{C3380CC4-5D6E-409C-BE32-E72D297353CC}">
                <c16:uniqueId val="{0000005B-4B13-427F-948B-19FCA9950945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</c:spPr>
            <c:extLst>
              <c:ext xmlns:c16="http://schemas.microsoft.com/office/drawing/2014/chart" uri="{C3380CC4-5D6E-409C-BE32-E72D297353CC}">
                <c16:uniqueId val="{0000005D-4B13-427F-948B-19FCA9950945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</c:spPr>
            <c:extLst>
              <c:ext xmlns:c16="http://schemas.microsoft.com/office/drawing/2014/chart" uri="{C3380CC4-5D6E-409C-BE32-E72D297353CC}">
                <c16:uniqueId val="{0000005F-4B13-427F-948B-19FCA9950945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</c:spPr>
            <c:extLst>
              <c:ext xmlns:c16="http://schemas.microsoft.com/office/drawing/2014/chart" uri="{C3380CC4-5D6E-409C-BE32-E72D297353CC}">
                <c16:uniqueId val="{00000061-4B13-427F-948B-19FCA9950945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</c:spPr>
            <c:extLst>
              <c:ext xmlns:c16="http://schemas.microsoft.com/office/drawing/2014/chart" uri="{C3380CC4-5D6E-409C-BE32-E72D297353CC}">
                <c16:uniqueId val="{00000063-4B13-427F-948B-19FCA9950945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</c:spPr>
            <c:extLst>
              <c:ext xmlns:c16="http://schemas.microsoft.com/office/drawing/2014/chart" uri="{C3380CC4-5D6E-409C-BE32-E72D297353CC}">
                <c16:uniqueId val="{00000065-4B13-427F-948B-19FCA9950945}"/>
              </c:ext>
            </c:extLst>
          </c:dPt>
          <c:dPt>
            <c:idx val="51"/>
            <c:bubble3D val="0"/>
            <c:spPr>
              <a:solidFill>
                <a:srgbClr val="1B79F0"/>
              </a:solidFill>
            </c:spPr>
            <c:extLst>
              <c:ext xmlns:c16="http://schemas.microsoft.com/office/drawing/2014/chart" uri="{C3380CC4-5D6E-409C-BE32-E72D297353CC}">
                <c16:uniqueId val="{00000067-4B13-427F-948B-19FCA9950945}"/>
              </c:ext>
            </c:extLst>
          </c:dPt>
          <c:dPt>
            <c:idx val="52"/>
            <c:bubble3D val="0"/>
            <c:spPr>
              <a:solidFill>
                <a:srgbClr val="FFCB63"/>
              </a:solidFill>
            </c:spPr>
            <c:extLst>
              <c:ext xmlns:c16="http://schemas.microsoft.com/office/drawing/2014/chart" uri="{C3380CC4-5D6E-409C-BE32-E72D297353CC}">
                <c16:uniqueId val="{00000069-4B13-427F-948B-19FCA9950945}"/>
              </c:ext>
            </c:extLst>
          </c:dPt>
          <c:dPt>
            <c:idx val="53"/>
            <c:bubble3D val="0"/>
            <c:spPr>
              <a:solidFill>
                <a:srgbClr val="025B4F"/>
              </a:solidFill>
            </c:spPr>
            <c:extLst>
              <c:ext xmlns:c16="http://schemas.microsoft.com/office/drawing/2014/chart" uri="{C3380CC4-5D6E-409C-BE32-E72D297353CC}">
                <c16:uniqueId val="{0000006B-4B13-427F-948B-19FCA9950945}"/>
              </c:ext>
            </c:extLst>
          </c:dPt>
          <c:dPt>
            <c:idx val="54"/>
            <c:bubble3D val="0"/>
            <c:spPr>
              <a:solidFill>
                <a:srgbClr val="40CE12"/>
              </a:solidFill>
            </c:spPr>
            <c:extLst>
              <c:ext xmlns:c16="http://schemas.microsoft.com/office/drawing/2014/chart" uri="{C3380CC4-5D6E-409C-BE32-E72D297353CC}">
                <c16:uniqueId val="{0000006D-4B13-427F-948B-19FCA9950945}"/>
              </c:ext>
            </c:extLst>
          </c:dPt>
          <c:dPt>
            <c:idx val="55"/>
            <c:bubble3D val="0"/>
            <c:spPr>
              <a:solidFill>
                <a:srgbClr val="233F56"/>
              </a:solidFill>
            </c:spPr>
            <c:extLst>
              <c:ext xmlns:c16="http://schemas.microsoft.com/office/drawing/2014/chart" uri="{C3380CC4-5D6E-409C-BE32-E72D297353CC}">
                <c16:uniqueId val="{0000006F-4B13-427F-948B-19FCA9950945}"/>
              </c:ext>
            </c:extLst>
          </c:dPt>
          <c:dPt>
            <c:idx val="56"/>
            <c:bubble3D val="0"/>
            <c:spPr>
              <a:solidFill>
                <a:srgbClr val="0671AA"/>
              </a:solidFill>
            </c:spPr>
            <c:extLst>
              <c:ext xmlns:c16="http://schemas.microsoft.com/office/drawing/2014/chart" uri="{C3380CC4-5D6E-409C-BE32-E72D297353CC}">
                <c16:uniqueId val="{00000071-4B13-427F-948B-19FCA9950945}"/>
              </c:ext>
            </c:extLst>
          </c:dPt>
          <c:dPt>
            <c:idx val="57"/>
            <c:bubble3D val="0"/>
            <c:spPr>
              <a:solidFill>
                <a:srgbClr val="589323"/>
              </a:solidFill>
            </c:spPr>
            <c:extLst>
              <c:ext xmlns:c16="http://schemas.microsoft.com/office/drawing/2014/chart" uri="{C3380CC4-5D6E-409C-BE32-E72D297353CC}">
                <c16:uniqueId val="{00000073-4B13-427F-948B-19FCA9950945}"/>
              </c:ext>
            </c:extLst>
          </c:dPt>
          <c:dPt>
            <c:idx val="58"/>
            <c:bubble3D val="0"/>
            <c:spPr>
              <a:solidFill>
                <a:srgbClr val="FFF7AF"/>
              </a:solidFill>
            </c:spPr>
            <c:extLst>
              <c:ext xmlns:c16="http://schemas.microsoft.com/office/drawing/2014/chart" uri="{C3380CC4-5D6E-409C-BE32-E72D297353CC}">
                <c16:uniqueId val="{00000075-4B13-427F-948B-19FCA9950945}"/>
              </c:ext>
            </c:extLst>
          </c:dPt>
          <c:dPt>
            <c:idx val="59"/>
            <c:bubble3D val="0"/>
            <c:spPr>
              <a:solidFill>
                <a:srgbClr val="3A6F60"/>
              </a:solidFill>
            </c:spPr>
            <c:extLst>
              <c:ext xmlns:c16="http://schemas.microsoft.com/office/drawing/2014/chart" uri="{C3380CC4-5D6E-409C-BE32-E72D297353CC}">
                <c16:uniqueId val="{00000077-4B13-427F-948B-19FCA9950945}"/>
              </c:ext>
            </c:extLst>
          </c:dPt>
          <c:dPt>
            <c:idx val="60"/>
            <c:bubble3D val="0"/>
            <c:spPr>
              <a:solidFill>
                <a:srgbClr val="79F315"/>
              </a:solidFill>
            </c:spPr>
            <c:extLst>
              <c:ext xmlns:c16="http://schemas.microsoft.com/office/drawing/2014/chart" uri="{C3380CC4-5D6E-409C-BE32-E72D297353CC}">
                <c16:uniqueId val="{00000079-4B13-427F-948B-19FCA9950945}"/>
              </c:ext>
            </c:extLst>
          </c:dPt>
          <c:dPt>
            <c:idx val="61"/>
            <c:bubble3D val="0"/>
            <c:spPr>
              <a:solidFill>
                <a:srgbClr val="297793"/>
              </a:solidFill>
            </c:spPr>
            <c:extLst>
              <c:ext xmlns:c16="http://schemas.microsoft.com/office/drawing/2014/chart" uri="{C3380CC4-5D6E-409C-BE32-E72D297353CC}">
                <c16:uniqueId val="{0000007B-4B13-427F-948B-19FCA9950945}"/>
              </c:ext>
            </c:extLst>
          </c:dPt>
          <c:dPt>
            <c:idx val="62"/>
            <c:bubble3D val="0"/>
            <c:spPr>
              <a:solidFill>
                <a:srgbClr val="0785F5"/>
              </a:solidFill>
            </c:spPr>
            <c:extLst>
              <c:ext xmlns:c16="http://schemas.microsoft.com/office/drawing/2014/chart" uri="{C3380CC4-5D6E-409C-BE32-E72D297353CC}">
                <c16:uniqueId val="{0000007D-4B13-427F-948B-19FCA9950945}"/>
              </c:ext>
            </c:extLst>
          </c:dPt>
          <c:dPt>
            <c:idx val="63"/>
            <c:bubble3D val="0"/>
            <c:spPr>
              <a:solidFill>
                <a:srgbClr val="95AD57"/>
              </a:solidFill>
            </c:spPr>
            <c:extLst>
              <c:ext xmlns:c16="http://schemas.microsoft.com/office/drawing/2014/chart" uri="{C3380CC4-5D6E-409C-BE32-E72D297353CC}">
                <c16:uniqueId val="{0000007F-4B13-427F-948B-19FCA9950945}"/>
              </c:ext>
            </c:extLst>
          </c:dPt>
          <c:dPt>
            <c:idx val="64"/>
            <c:bubble3D val="0"/>
            <c:spPr>
              <a:solidFill>
                <a:srgbClr val="FF23FB"/>
              </a:solidFill>
            </c:spPr>
            <c:extLst>
              <c:ext xmlns:c16="http://schemas.microsoft.com/office/drawing/2014/chart" uri="{C3380CC4-5D6E-409C-BE32-E72D297353CC}">
                <c16:uniqueId val="{00000081-4B13-427F-948B-19FCA9950945}"/>
              </c:ext>
            </c:extLst>
          </c:dPt>
          <c:dPt>
            <c:idx val="65"/>
            <c:bubble3D val="0"/>
            <c:spPr>
              <a:solidFill>
                <a:srgbClr val="718371"/>
              </a:solidFill>
            </c:spPr>
            <c:extLst>
              <c:ext xmlns:c16="http://schemas.microsoft.com/office/drawing/2014/chart" uri="{C3380CC4-5D6E-409C-BE32-E72D297353CC}">
                <c16:uniqueId val="{00000083-4B13-427F-948B-19FCA9950945}"/>
              </c:ext>
            </c:extLst>
          </c:dPt>
          <c:dPt>
            <c:idx val="66"/>
            <c:bubble3D val="0"/>
            <c:spPr>
              <a:solidFill>
                <a:srgbClr val="B21818"/>
              </a:solidFill>
            </c:spPr>
            <c:extLst>
              <c:ext xmlns:c16="http://schemas.microsoft.com/office/drawing/2014/chart" uri="{C3380CC4-5D6E-409C-BE32-E72D297353CC}">
                <c16:uniqueId val="{00000085-4B13-427F-948B-19FCA9950945}"/>
              </c:ext>
            </c:extLst>
          </c:dPt>
          <c:dPt>
            <c:idx val="67"/>
            <c:bubble3D val="0"/>
            <c:spPr>
              <a:solidFill>
                <a:srgbClr val="2FAFD0"/>
              </a:solidFill>
            </c:spPr>
            <c:extLst>
              <c:ext xmlns:c16="http://schemas.microsoft.com/office/drawing/2014/chart" uri="{C3380CC4-5D6E-409C-BE32-E72D297353CC}">
                <c16:uniqueId val="{00000087-4B13-427F-948B-19FCA9950945}"/>
              </c:ext>
            </c:extLst>
          </c:dPt>
          <c:dPt>
            <c:idx val="68"/>
            <c:bubble3D val="0"/>
            <c:spPr>
              <a:solidFill>
                <a:srgbClr val="089940"/>
              </a:solidFill>
            </c:spPr>
            <c:extLst>
              <c:ext xmlns:c16="http://schemas.microsoft.com/office/drawing/2014/chart" uri="{C3380CC4-5D6E-409C-BE32-E72D297353CC}">
                <c16:uniqueId val="{00000089-4B13-427F-948B-19FCA9950945}"/>
              </c:ext>
            </c:extLst>
          </c:dPt>
          <c:dPt>
            <c:idx val="69"/>
            <c:bubble3D val="0"/>
            <c:spPr>
              <a:solidFill>
                <a:srgbClr val="D2C78B"/>
              </a:solidFill>
            </c:spPr>
            <c:extLst>
              <c:ext xmlns:c16="http://schemas.microsoft.com/office/drawing/2014/chart" uri="{C3380CC4-5D6E-409C-BE32-E72D297353CC}">
                <c16:uniqueId val="{0000008B-4B13-427F-948B-19FCA9950945}"/>
              </c:ext>
            </c:extLst>
          </c:dPt>
          <c:dPt>
            <c:idx val="70"/>
            <c:bubble3D val="0"/>
            <c:spPr>
              <a:solidFill>
                <a:srgbClr val="FF4F47"/>
              </a:solidFill>
            </c:spPr>
            <c:extLst>
              <c:ext xmlns:c16="http://schemas.microsoft.com/office/drawing/2014/chart" uri="{C3380CC4-5D6E-409C-BE32-E72D297353CC}">
                <c16:uniqueId val="{0000008D-4B13-427F-948B-19FCA9950945}"/>
              </c:ext>
            </c:extLst>
          </c:dPt>
          <c:dPt>
            <c:idx val="71"/>
            <c:bubble3D val="0"/>
            <c:spPr>
              <a:solidFill>
                <a:srgbClr val="A99782"/>
              </a:solidFill>
            </c:spPr>
            <c:extLst>
              <c:ext xmlns:c16="http://schemas.microsoft.com/office/drawing/2014/chart" uri="{C3380CC4-5D6E-409C-BE32-E72D297353CC}">
                <c16:uniqueId val="{0000008F-4B13-427F-948B-19FCA9950945}"/>
              </c:ext>
            </c:extLst>
          </c:dPt>
          <c:dPt>
            <c:idx val="72"/>
            <c:bubble3D val="0"/>
            <c:spPr>
              <a:solidFill>
                <a:srgbClr val="EA3C1C"/>
              </a:solidFill>
            </c:spPr>
            <c:extLst>
              <c:ext xmlns:c16="http://schemas.microsoft.com/office/drawing/2014/chart" uri="{C3380CC4-5D6E-409C-BE32-E72D297353CC}">
                <c16:uniqueId val="{00000091-4B13-427F-948B-19FCA9950945}"/>
              </c:ext>
            </c:extLst>
          </c:dPt>
          <c:dPt>
            <c:idx val="73"/>
            <c:bubble3D val="0"/>
            <c:spPr>
              <a:solidFill>
                <a:srgbClr val="36E80C"/>
              </a:solidFill>
            </c:spPr>
            <c:extLst>
              <c:ext xmlns:c16="http://schemas.microsoft.com/office/drawing/2014/chart" uri="{C3380CC4-5D6E-409C-BE32-E72D297353CC}">
                <c16:uniqueId val="{00000093-4B13-427F-948B-19FCA9950945}"/>
              </c:ext>
            </c:extLst>
          </c:dPt>
          <c:dPt>
            <c:idx val="74"/>
            <c:bubble3D val="0"/>
            <c:spPr>
              <a:solidFill>
                <a:srgbClr val="09AD8C"/>
              </a:solidFill>
            </c:spPr>
            <c:extLst>
              <c:ext xmlns:c16="http://schemas.microsoft.com/office/drawing/2014/chart" uri="{C3380CC4-5D6E-409C-BE32-E72D297353CC}">
                <c16:uniqueId val="{00000095-4B13-427F-948B-19FCA9950945}"/>
              </c:ext>
            </c:extLst>
          </c:dPt>
          <c:dPt>
            <c:idx val="75"/>
            <c:bubble3D val="0"/>
            <c:spPr>
              <a:solidFill>
                <a:srgbClr val="0FE1BE"/>
              </a:solidFill>
            </c:spPr>
            <c:extLst>
              <c:ext xmlns:c16="http://schemas.microsoft.com/office/drawing/2014/chart" uri="{C3380CC4-5D6E-409C-BE32-E72D297353CC}">
                <c16:uniqueId val="{00000097-4B13-427F-948B-19FCA9950945}"/>
              </c:ext>
            </c:extLst>
          </c:dPt>
          <c:dPt>
            <c:idx val="76"/>
            <c:bubble3D val="0"/>
            <c:spPr>
              <a:solidFill>
                <a:srgbClr val="FF7B93"/>
              </a:solidFill>
            </c:spPr>
            <c:extLst>
              <c:ext xmlns:c16="http://schemas.microsoft.com/office/drawing/2014/chart" uri="{C3380CC4-5D6E-409C-BE32-E72D297353CC}">
                <c16:uniqueId val="{00000099-4B13-427F-948B-19FCA9950945}"/>
              </c:ext>
            </c:extLst>
          </c:dPt>
          <c:dPt>
            <c:idx val="77"/>
            <c:bubble3D val="0"/>
            <c:spPr>
              <a:solidFill>
                <a:srgbClr val="E0AB93"/>
              </a:solidFill>
            </c:spPr>
            <c:extLst>
              <c:ext xmlns:c16="http://schemas.microsoft.com/office/drawing/2014/chart" uri="{C3380CC4-5D6E-409C-BE32-E72D297353CC}">
                <c16:uniqueId val="{0000009B-4B13-427F-948B-19FCA9950945}"/>
              </c:ext>
            </c:extLst>
          </c:dPt>
          <c:dPt>
            <c:idx val="78"/>
            <c:bubble3D val="0"/>
            <c:spPr>
              <a:solidFill>
                <a:srgbClr val="23611F"/>
              </a:solidFill>
            </c:spPr>
            <c:extLst>
              <c:ext xmlns:c16="http://schemas.microsoft.com/office/drawing/2014/chart" uri="{C3380CC4-5D6E-409C-BE32-E72D297353CC}">
                <c16:uniqueId val="{0000009D-4B13-427F-948B-19FCA9950945}"/>
              </c:ext>
            </c:extLst>
          </c:dPt>
          <c:dPt>
            <c:idx val="79"/>
            <c:bubble3D val="0"/>
            <c:spPr>
              <a:solidFill>
                <a:srgbClr val="3C2049"/>
              </a:solidFill>
            </c:spPr>
            <c:extLst>
              <c:ext xmlns:c16="http://schemas.microsoft.com/office/drawing/2014/chart" uri="{C3380CC4-5D6E-409C-BE32-E72D297353CC}">
                <c16:uniqueId val="{0000009F-4B13-427F-948B-19FCA9950945}"/>
              </c:ext>
            </c:extLst>
          </c:dPt>
          <c:dPt>
            <c:idx val="80"/>
            <c:bubble3D val="0"/>
            <c:spPr>
              <a:solidFill>
                <a:srgbClr val="0BC1D7"/>
              </a:solidFill>
            </c:spPr>
            <c:extLst>
              <c:ext xmlns:c16="http://schemas.microsoft.com/office/drawing/2014/chart" uri="{C3380CC4-5D6E-409C-BE32-E72D297353CC}">
                <c16:uniqueId val="{000000A1-4B13-427F-948B-19FCA9950945}"/>
              </c:ext>
            </c:extLst>
          </c:dPt>
          <c:dPt>
            <c:idx val="81"/>
            <c:bubble3D val="0"/>
            <c:spPr>
              <a:solidFill>
                <a:srgbClr val="4CFBF2"/>
              </a:solidFill>
            </c:spPr>
            <c:extLst>
              <c:ext xmlns:c16="http://schemas.microsoft.com/office/drawing/2014/chart" uri="{C3380CC4-5D6E-409C-BE32-E72D297353CC}">
                <c16:uniqueId val="{000000A3-4B13-427F-948B-19FCA9950945}"/>
              </c:ext>
            </c:extLst>
          </c:dPt>
          <c:dPt>
            <c:idx val="82"/>
            <c:bubble3D val="0"/>
            <c:spPr>
              <a:solidFill>
                <a:srgbClr val="FFA6E0"/>
              </a:solidFill>
            </c:spPr>
            <c:extLst>
              <c:ext xmlns:c16="http://schemas.microsoft.com/office/drawing/2014/chart" uri="{C3380CC4-5D6E-409C-BE32-E72D297353CC}">
                <c16:uniqueId val="{000000A5-4B13-427F-948B-19FCA9950945}"/>
              </c:ext>
            </c:extLst>
          </c:dPt>
          <c:dPt>
            <c:idx val="83"/>
            <c:bubble3D val="0"/>
            <c:spPr>
              <a:solidFill>
                <a:srgbClr val="18BEA4"/>
              </a:solidFill>
            </c:spPr>
            <c:extLst>
              <c:ext xmlns:c16="http://schemas.microsoft.com/office/drawing/2014/chart" uri="{C3380CC4-5D6E-409C-BE32-E72D297353CC}">
                <c16:uniqueId val="{000000A7-4B13-427F-948B-19FCA9950945}"/>
              </c:ext>
            </c:extLst>
          </c:dPt>
          <c:dPt>
            <c:idx val="84"/>
            <c:bubble3D val="0"/>
            <c:spPr>
              <a:solidFill>
                <a:srgbClr val="5C8522"/>
              </a:solidFill>
            </c:spPr>
            <c:extLst>
              <c:ext xmlns:c16="http://schemas.microsoft.com/office/drawing/2014/chart" uri="{C3380CC4-5D6E-409C-BE32-E72D297353CC}">
                <c16:uniqueId val="{000000A9-4B13-427F-948B-19FCA9950945}"/>
              </c:ext>
            </c:extLst>
          </c:dPt>
          <c:dPt>
            <c:idx val="85"/>
            <c:bubble3D val="0"/>
            <c:spPr>
              <a:solidFill>
                <a:srgbClr val="425985"/>
              </a:solidFill>
            </c:spPr>
            <c:extLst>
              <c:ext xmlns:c16="http://schemas.microsoft.com/office/drawing/2014/chart" uri="{C3380CC4-5D6E-409C-BE32-E72D297353CC}">
                <c16:uniqueId val="{000000AB-4B13-427F-948B-19FCA9950945}"/>
              </c:ext>
            </c:extLst>
          </c:dPt>
          <c:dPt>
            <c:idx val="86"/>
            <c:bubble3D val="0"/>
            <c:spPr>
              <a:solidFill>
                <a:srgbClr val="0CD522"/>
              </a:solidFill>
            </c:spPr>
            <c:extLst>
              <c:ext xmlns:c16="http://schemas.microsoft.com/office/drawing/2014/chart" uri="{C3380CC4-5D6E-409C-BE32-E72D297353CC}">
                <c16:uniqueId val="{000000AD-4B13-427F-948B-19FCA9950945}"/>
              </c:ext>
            </c:extLst>
          </c:dPt>
          <c:dPt>
            <c:idx val="87"/>
            <c:bubble3D val="0"/>
            <c:spPr>
              <a:solidFill>
                <a:srgbClr val="891525"/>
              </a:solidFill>
            </c:spPr>
            <c:extLst>
              <c:ext xmlns:c16="http://schemas.microsoft.com/office/drawing/2014/chart" uri="{C3380CC4-5D6E-409C-BE32-E72D297353CC}">
                <c16:uniqueId val="{000000AF-4B13-427F-948B-19FCA9950945}"/>
              </c:ext>
            </c:extLst>
          </c:dPt>
          <c:dPt>
            <c:idx val="88"/>
            <c:bubble3D val="0"/>
            <c:spPr>
              <a:solidFill>
                <a:srgbClr val="FFD22C"/>
              </a:solidFill>
            </c:spPr>
            <c:extLst>
              <c:ext xmlns:c16="http://schemas.microsoft.com/office/drawing/2014/chart" uri="{C3380CC4-5D6E-409C-BE32-E72D297353CC}">
                <c16:uniqueId val="{000000B1-4B13-427F-948B-19FCA9950945}"/>
              </c:ext>
            </c:extLst>
          </c:dPt>
          <c:dPt>
            <c:idx val="89"/>
            <c:bubble3D val="0"/>
            <c:spPr>
              <a:solidFill>
                <a:srgbClr val="4FD2B5"/>
              </a:solidFill>
            </c:spPr>
            <c:extLst>
              <c:ext xmlns:c16="http://schemas.microsoft.com/office/drawing/2014/chart" uri="{C3380CC4-5D6E-409C-BE32-E72D297353CC}">
                <c16:uniqueId val="{000000B3-4B13-427F-948B-19FCA9950945}"/>
              </c:ext>
            </c:extLst>
          </c:dPt>
          <c:dPt>
            <c:idx val="90"/>
            <c:bubble3D val="0"/>
            <c:spPr>
              <a:solidFill>
                <a:srgbClr val="95AA26"/>
              </a:solidFill>
            </c:spPr>
            <c:extLst>
              <c:ext xmlns:c16="http://schemas.microsoft.com/office/drawing/2014/chart" uri="{C3380CC4-5D6E-409C-BE32-E72D297353CC}">
                <c16:uniqueId val="{000000B5-4B13-427F-948B-19FCA9950945}"/>
              </c:ext>
            </c:extLst>
          </c:dPt>
          <c:dPt>
            <c:idx val="91"/>
            <c:bubble3D val="0"/>
            <c:spPr>
              <a:solidFill>
                <a:srgbClr val="4991C2"/>
              </a:solidFill>
            </c:spPr>
            <c:extLst>
              <c:ext xmlns:c16="http://schemas.microsoft.com/office/drawing/2014/chart" uri="{C3380CC4-5D6E-409C-BE32-E72D297353CC}">
                <c16:uniqueId val="{000000B7-4B13-427F-948B-19FCA9950945}"/>
              </c:ext>
            </c:extLst>
          </c:dPt>
          <c:dPt>
            <c:idx val="92"/>
            <c:bubble3D val="0"/>
            <c:spPr>
              <a:solidFill>
                <a:srgbClr val="0DEA6E"/>
              </a:solidFill>
            </c:spPr>
            <c:extLst>
              <c:ext xmlns:c16="http://schemas.microsoft.com/office/drawing/2014/chart" uri="{C3380CC4-5D6E-409C-BE32-E72D297353CC}">
                <c16:uniqueId val="{000000B9-4B13-427F-948B-19FCA9950945}"/>
              </c:ext>
            </c:extLst>
          </c:dPt>
          <c:dPt>
            <c:idx val="93"/>
            <c:bubble3D val="0"/>
            <c:spPr>
              <a:solidFill>
                <a:srgbClr val="C63059"/>
              </a:solidFill>
            </c:spPr>
            <c:extLst>
              <c:ext xmlns:c16="http://schemas.microsoft.com/office/drawing/2014/chart" uri="{C3380CC4-5D6E-409C-BE32-E72D297353CC}">
                <c16:uniqueId val="{000000BB-4B13-427F-948B-19FCA9950945}"/>
              </c:ext>
            </c:extLst>
          </c:dPt>
          <c:dPt>
            <c:idx val="94"/>
            <c:bubble3D val="0"/>
            <c:spPr>
              <a:solidFill>
                <a:srgbClr val="FFFE78"/>
              </a:solidFill>
            </c:spPr>
            <c:extLst>
              <c:ext xmlns:c16="http://schemas.microsoft.com/office/drawing/2014/chart" uri="{C3380CC4-5D6E-409C-BE32-E72D297353CC}">
                <c16:uniqueId val="{000000BD-4B13-427F-948B-19FCA9950945}"/>
              </c:ext>
            </c:extLst>
          </c:dPt>
          <c:dPt>
            <c:idx val="95"/>
            <c:bubble3D val="0"/>
            <c:spPr>
              <a:solidFill>
                <a:srgbClr val="87E6C7"/>
              </a:solidFill>
            </c:spPr>
            <c:extLst>
              <c:ext xmlns:c16="http://schemas.microsoft.com/office/drawing/2014/chart" uri="{C3380CC4-5D6E-409C-BE32-E72D297353CC}">
                <c16:uniqueId val="{000000BF-4B13-427F-948B-19FCA9950945}"/>
              </c:ext>
            </c:extLst>
          </c:dPt>
          <c:dPt>
            <c:idx val="96"/>
            <c:bubble3D val="0"/>
            <c:spPr>
              <a:solidFill>
                <a:srgbClr val="CDCF29"/>
              </a:solidFill>
            </c:spPr>
            <c:extLst>
              <c:ext xmlns:c16="http://schemas.microsoft.com/office/drawing/2014/chart" uri="{C3380CC4-5D6E-409C-BE32-E72D297353CC}">
                <c16:uniqueId val="{000000C1-4B13-427F-948B-19FCA9950945}"/>
              </c:ext>
            </c:extLst>
          </c:dPt>
          <c:dPt>
            <c:idx val="97"/>
            <c:bubble3D val="0"/>
            <c:spPr>
              <a:solidFill>
                <a:srgbClr val="4FC9FF"/>
              </a:solidFill>
            </c:spPr>
            <c:extLst>
              <c:ext xmlns:c16="http://schemas.microsoft.com/office/drawing/2014/chart" uri="{C3380CC4-5D6E-409C-BE32-E72D297353CC}">
                <c16:uniqueId val="{000000C3-4B13-427F-948B-19FCA9950945}"/>
              </c:ext>
            </c:extLst>
          </c:dPt>
          <c:dPt>
            <c:idx val="98"/>
            <c:bubble3D val="0"/>
            <c:spPr>
              <a:solidFill>
                <a:srgbClr val="0EFEB9"/>
              </a:solidFill>
            </c:spPr>
            <c:extLst>
              <c:ext xmlns:c16="http://schemas.microsoft.com/office/drawing/2014/chart" uri="{C3380CC4-5D6E-409C-BE32-E72D297353CC}">
                <c16:uniqueId val="{000000C5-4B13-427F-948B-19FCA9950945}"/>
              </c:ext>
            </c:extLst>
          </c:dPt>
          <c:dPt>
            <c:idx val="99"/>
            <c:bubble3D val="0"/>
            <c:spPr>
              <a:solidFill>
                <a:srgbClr val="024A8D"/>
              </a:solidFill>
            </c:spPr>
            <c:extLst>
              <c:ext xmlns:c16="http://schemas.microsoft.com/office/drawing/2014/chart" uri="{C3380CC4-5D6E-409C-BE32-E72D297353CC}">
                <c16:uniqueId val="{000000C7-4B13-427F-948B-19FCA9950945}"/>
              </c:ext>
            </c:extLst>
          </c:dPt>
          <c:dPt>
            <c:idx val="100"/>
            <c:bubble3D val="0"/>
            <c:spPr>
              <a:solidFill>
                <a:srgbClr val="FF2AC4"/>
              </a:solidFill>
            </c:spPr>
            <c:extLst>
              <c:ext xmlns:c16="http://schemas.microsoft.com/office/drawing/2014/chart" uri="{C3380CC4-5D6E-409C-BE32-E72D297353CC}">
                <c16:uniqueId val="{000000C9-4B13-427F-948B-19FCA9950945}"/>
              </c:ext>
            </c:extLst>
          </c:dPt>
          <c:cat>
            <c:strRef>
              <c:f>'Base de Dados'!$J$1:$J$101</c:f>
              <c:strCache>
                <c:ptCount val="101"/>
                <c:pt idx="0">
                  <c:v>Método de pagamento</c:v>
                </c:pt>
                <c:pt idx="1">
                  <c:v>pix</c:v>
                </c:pt>
                <c:pt idx="2">
                  <c:v>cartão</c:v>
                </c:pt>
                <c:pt idx="3">
                  <c:v>pix</c:v>
                </c:pt>
                <c:pt idx="4">
                  <c:v>cartão</c:v>
                </c:pt>
                <c:pt idx="5">
                  <c:v>cartão</c:v>
                </c:pt>
                <c:pt idx="6">
                  <c:v>dinheiro</c:v>
                </c:pt>
                <c:pt idx="7">
                  <c:v>pix</c:v>
                </c:pt>
                <c:pt idx="8">
                  <c:v>cartão</c:v>
                </c:pt>
                <c:pt idx="9">
                  <c:v>pix</c:v>
                </c:pt>
                <c:pt idx="10">
                  <c:v>cartão</c:v>
                </c:pt>
                <c:pt idx="11">
                  <c:v>dinheiro</c:v>
                </c:pt>
                <c:pt idx="12">
                  <c:v>pix</c:v>
                </c:pt>
                <c:pt idx="13">
                  <c:v>cartão</c:v>
                </c:pt>
                <c:pt idx="14">
                  <c:v>pix</c:v>
                </c:pt>
                <c:pt idx="15">
                  <c:v>cartão</c:v>
                </c:pt>
                <c:pt idx="16">
                  <c:v>dinheiro</c:v>
                </c:pt>
                <c:pt idx="17">
                  <c:v>pix</c:v>
                </c:pt>
                <c:pt idx="18">
                  <c:v>cartão</c:v>
                </c:pt>
                <c:pt idx="19">
                  <c:v>pix</c:v>
                </c:pt>
                <c:pt idx="20">
                  <c:v>cartão</c:v>
                </c:pt>
                <c:pt idx="21">
                  <c:v>pix</c:v>
                </c:pt>
                <c:pt idx="22">
                  <c:v>cartão</c:v>
                </c:pt>
                <c:pt idx="23">
                  <c:v>pix</c:v>
                </c:pt>
                <c:pt idx="24">
                  <c:v>cartão</c:v>
                </c:pt>
                <c:pt idx="25">
                  <c:v>cartão</c:v>
                </c:pt>
                <c:pt idx="26">
                  <c:v>dinheiro</c:v>
                </c:pt>
                <c:pt idx="27">
                  <c:v>pix</c:v>
                </c:pt>
                <c:pt idx="28">
                  <c:v>cartão</c:v>
                </c:pt>
                <c:pt idx="29">
                  <c:v>pix</c:v>
                </c:pt>
                <c:pt idx="30">
                  <c:v>cartão</c:v>
                </c:pt>
                <c:pt idx="31">
                  <c:v>pix</c:v>
                </c:pt>
                <c:pt idx="32">
                  <c:v>cartão</c:v>
                </c:pt>
                <c:pt idx="33">
                  <c:v>pix</c:v>
                </c:pt>
                <c:pt idx="34">
                  <c:v>cartão</c:v>
                </c:pt>
                <c:pt idx="35">
                  <c:v>cartão</c:v>
                </c:pt>
                <c:pt idx="36">
                  <c:v>dinheiro</c:v>
                </c:pt>
                <c:pt idx="37">
                  <c:v>pix</c:v>
                </c:pt>
                <c:pt idx="38">
                  <c:v>cartão</c:v>
                </c:pt>
                <c:pt idx="39">
                  <c:v>pix</c:v>
                </c:pt>
                <c:pt idx="40">
                  <c:v>cartão</c:v>
                </c:pt>
                <c:pt idx="41">
                  <c:v>pix</c:v>
                </c:pt>
                <c:pt idx="42">
                  <c:v>cartão</c:v>
                </c:pt>
                <c:pt idx="43">
                  <c:v>pix</c:v>
                </c:pt>
                <c:pt idx="44">
                  <c:v>cartão</c:v>
                </c:pt>
                <c:pt idx="45">
                  <c:v>cartão</c:v>
                </c:pt>
                <c:pt idx="46">
                  <c:v>dinheiro</c:v>
                </c:pt>
                <c:pt idx="47">
                  <c:v>pix</c:v>
                </c:pt>
                <c:pt idx="48">
                  <c:v>cartão</c:v>
                </c:pt>
                <c:pt idx="49">
                  <c:v>pix</c:v>
                </c:pt>
                <c:pt idx="50">
                  <c:v>cartão</c:v>
                </c:pt>
                <c:pt idx="51">
                  <c:v>pix</c:v>
                </c:pt>
                <c:pt idx="52">
                  <c:v>cartão</c:v>
                </c:pt>
                <c:pt idx="53">
                  <c:v>pix</c:v>
                </c:pt>
                <c:pt idx="54">
                  <c:v>cartão</c:v>
                </c:pt>
                <c:pt idx="55">
                  <c:v>cartão</c:v>
                </c:pt>
                <c:pt idx="56">
                  <c:v>dinheiro</c:v>
                </c:pt>
                <c:pt idx="57">
                  <c:v>pix</c:v>
                </c:pt>
                <c:pt idx="58">
                  <c:v>cartão</c:v>
                </c:pt>
                <c:pt idx="59">
                  <c:v>pix</c:v>
                </c:pt>
                <c:pt idx="60">
                  <c:v>cartão</c:v>
                </c:pt>
                <c:pt idx="61">
                  <c:v>pix</c:v>
                </c:pt>
                <c:pt idx="62">
                  <c:v>cartão</c:v>
                </c:pt>
                <c:pt idx="63">
                  <c:v>pix</c:v>
                </c:pt>
                <c:pt idx="64">
                  <c:v>cartão</c:v>
                </c:pt>
                <c:pt idx="65">
                  <c:v>cartão</c:v>
                </c:pt>
                <c:pt idx="66">
                  <c:v>dinheiro</c:v>
                </c:pt>
                <c:pt idx="67">
                  <c:v>pix</c:v>
                </c:pt>
                <c:pt idx="68">
                  <c:v>cartão</c:v>
                </c:pt>
                <c:pt idx="69">
                  <c:v>pix</c:v>
                </c:pt>
                <c:pt idx="70">
                  <c:v>cartão</c:v>
                </c:pt>
                <c:pt idx="71">
                  <c:v>pix</c:v>
                </c:pt>
                <c:pt idx="72">
                  <c:v>cartão</c:v>
                </c:pt>
                <c:pt idx="73">
                  <c:v>pix</c:v>
                </c:pt>
                <c:pt idx="74">
                  <c:v>cartão</c:v>
                </c:pt>
                <c:pt idx="75">
                  <c:v>cartão</c:v>
                </c:pt>
                <c:pt idx="76">
                  <c:v>dinheiro</c:v>
                </c:pt>
                <c:pt idx="77">
                  <c:v>pix</c:v>
                </c:pt>
                <c:pt idx="78">
                  <c:v>cartão</c:v>
                </c:pt>
                <c:pt idx="79">
                  <c:v>pix</c:v>
                </c:pt>
                <c:pt idx="80">
                  <c:v>cartão</c:v>
                </c:pt>
                <c:pt idx="81">
                  <c:v>pix</c:v>
                </c:pt>
                <c:pt idx="82">
                  <c:v>cartão</c:v>
                </c:pt>
                <c:pt idx="83">
                  <c:v>pix</c:v>
                </c:pt>
                <c:pt idx="84">
                  <c:v>cartão</c:v>
                </c:pt>
                <c:pt idx="85">
                  <c:v>cartão</c:v>
                </c:pt>
                <c:pt idx="86">
                  <c:v>dinheiro</c:v>
                </c:pt>
                <c:pt idx="87">
                  <c:v>pix</c:v>
                </c:pt>
                <c:pt idx="88">
                  <c:v>cartão</c:v>
                </c:pt>
                <c:pt idx="89">
                  <c:v>pix</c:v>
                </c:pt>
                <c:pt idx="90">
                  <c:v>cartão</c:v>
                </c:pt>
                <c:pt idx="91">
                  <c:v>pix</c:v>
                </c:pt>
                <c:pt idx="92">
                  <c:v>cartão</c:v>
                </c:pt>
                <c:pt idx="93">
                  <c:v>pix</c:v>
                </c:pt>
                <c:pt idx="94">
                  <c:v>cartão</c:v>
                </c:pt>
                <c:pt idx="95">
                  <c:v>cartão</c:v>
                </c:pt>
                <c:pt idx="96">
                  <c:v>dinheiro</c:v>
                </c:pt>
                <c:pt idx="97">
                  <c:v>pix</c:v>
                </c:pt>
                <c:pt idx="98">
                  <c:v>cartão</c:v>
                </c:pt>
                <c:pt idx="99">
                  <c:v>pix</c:v>
                </c:pt>
                <c:pt idx="100">
                  <c:v>cartão</c:v>
                </c:pt>
              </c:strCache>
            </c:strRef>
          </c:cat>
          <c:val>
            <c:numRef>
              <c:f>'Base de Dados'!$N$1:$N$101</c:f>
              <c:numCache>
                <c:formatCode>_("R$"* #,##0.00_);_("R$"* \(#,##0.00\);_("R$"* "-"??_);_(@_)</c:formatCode>
                <c:ptCount val="101"/>
                <c:pt idx="0" formatCode="General">
                  <c:v>0</c:v>
                </c:pt>
                <c:pt idx="1">
                  <c:v>2500</c:v>
                </c:pt>
                <c:pt idx="2">
                  <c:v>4050</c:v>
                </c:pt>
                <c:pt idx="3">
                  <c:v>300</c:v>
                </c:pt>
                <c:pt idx="4">
                  <c:v>720</c:v>
                </c:pt>
                <c:pt idx="5">
                  <c:v>4500</c:v>
                </c:pt>
                <c:pt idx="6">
                  <c:v>200</c:v>
                </c:pt>
                <c:pt idx="7">
                  <c:v>240</c:v>
                </c:pt>
                <c:pt idx="8">
                  <c:v>4050</c:v>
                </c:pt>
                <c:pt idx="9">
                  <c:v>150</c:v>
                </c:pt>
                <c:pt idx="10">
                  <c:v>1440</c:v>
                </c:pt>
                <c:pt idx="11">
                  <c:v>2500</c:v>
                </c:pt>
                <c:pt idx="12">
                  <c:v>400</c:v>
                </c:pt>
                <c:pt idx="13">
                  <c:v>72</c:v>
                </c:pt>
                <c:pt idx="14">
                  <c:v>4500</c:v>
                </c:pt>
                <c:pt idx="15">
                  <c:v>405</c:v>
                </c:pt>
                <c:pt idx="16">
                  <c:v>800</c:v>
                </c:pt>
                <c:pt idx="17">
                  <c:v>2500</c:v>
                </c:pt>
                <c:pt idx="18">
                  <c:v>180</c:v>
                </c:pt>
                <c:pt idx="19">
                  <c:v>160</c:v>
                </c:pt>
                <c:pt idx="20">
                  <c:v>8100</c:v>
                </c:pt>
                <c:pt idx="21">
                  <c:v>2500</c:v>
                </c:pt>
                <c:pt idx="22">
                  <c:v>4050</c:v>
                </c:pt>
                <c:pt idx="23">
                  <c:v>300</c:v>
                </c:pt>
                <c:pt idx="24">
                  <c:v>720</c:v>
                </c:pt>
                <c:pt idx="25">
                  <c:v>4500</c:v>
                </c:pt>
                <c:pt idx="26">
                  <c:v>200</c:v>
                </c:pt>
                <c:pt idx="27">
                  <c:v>240</c:v>
                </c:pt>
                <c:pt idx="28">
                  <c:v>4050</c:v>
                </c:pt>
                <c:pt idx="29">
                  <c:v>150</c:v>
                </c:pt>
                <c:pt idx="30">
                  <c:v>1440</c:v>
                </c:pt>
                <c:pt idx="31">
                  <c:v>2500</c:v>
                </c:pt>
                <c:pt idx="32">
                  <c:v>4050</c:v>
                </c:pt>
                <c:pt idx="33">
                  <c:v>300</c:v>
                </c:pt>
                <c:pt idx="34">
                  <c:v>720</c:v>
                </c:pt>
                <c:pt idx="35">
                  <c:v>4500</c:v>
                </c:pt>
                <c:pt idx="36">
                  <c:v>200</c:v>
                </c:pt>
                <c:pt idx="37">
                  <c:v>240</c:v>
                </c:pt>
                <c:pt idx="38">
                  <c:v>4050</c:v>
                </c:pt>
                <c:pt idx="39">
                  <c:v>150</c:v>
                </c:pt>
                <c:pt idx="40">
                  <c:v>1440</c:v>
                </c:pt>
                <c:pt idx="41">
                  <c:v>2500</c:v>
                </c:pt>
                <c:pt idx="42">
                  <c:v>4050</c:v>
                </c:pt>
                <c:pt idx="43">
                  <c:v>300</c:v>
                </c:pt>
                <c:pt idx="44">
                  <c:v>720</c:v>
                </c:pt>
                <c:pt idx="45">
                  <c:v>4500</c:v>
                </c:pt>
                <c:pt idx="46">
                  <c:v>200</c:v>
                </c:pt>
                <c:pt idx="47">
                  <c:v>240</c:v>
                </c:pt>
                <c:pt idx="48">
                  <c:v>4050</c:v>
                </c:pt>
                <c:pt idx="49">
                  <c:v>150</c:v>
                </c:pt>
                <c:pt idx="50">
                  <c:v>1440</c:v>
                </c:pt>
                <c:pt idx="51">
                  <c:v>2500</c:v>
                </c:pt>
                <c:pt idx="52">
                  <c:v>4050</c:v>
                </c:pt>
                <c:pt idx="53">
                  <c:v>300</c:v>
                </c:pt>
                <c:pt idx="54">
                  <c:v>720</c:v>
                </c:pt>
                <c:pt idx="55">
                  <c:v>4500</c:v>
                </c:pt>
                <c:pt idx="56">
                  <c:v>200</c:v>
                </c:pt>
                <c:pt idx="57">
                  <c:v>240</c:v>
                </c:pt>
                <c:pt idx="58">
                  <c:v>4050</c:v>
                </c:pt>
                <c:pt idx="59">
                  <c:v>150</c:v>
                </c:pt>
                <c:pt idx="60">
                  <c:v>1440</c:v>
                </c:pt>
                <c:pt idx="61">
                  <c:v>2500</c:v>
                </c:pt>
                <c:pt idx="62">
                  <c:v>4050</c:v>
                </c:pt>
                <c:pt idx="63">
                  <c:v>300</c:v>
                </c:pt>
                <c:pt idx="64">
                  <c:v>720</c:v>
                </c:pt>
                <c:pt idx="65">
                  <c:v>4500</c:v>
                </c:pt>
                <c:pt idx="66">
                  <c:v>200</c:v>
                </c:pt>
                <c:pt idx="67">
                  <c:v>240</c:v>
                </c:pt>
                <c:pt idx="68">
                  <c:v>4050</c:v>
                </c:pt>
                <c:pt idx="69">
                  <c:v>150</c:v>
                </c:pt>
                <c:pt idx="70">
                  <c:v>1440</c:v>
                </c:pt>
                <c:pt idx="71">
                  <c:v>2500</c:v>
                </c:pt>
                <c:pt idx="72">
                  <c:v>4050</c:v>
                </c:pt>
                <c:pt idx="73">
                  <c:v>300</c:v>
                </c:pt>
                <c:pt idx="74">
                  <c:v>720</c:v>
                </c:pt>
                <c:pt idx="75">
                  <c:v>4500</c:v>
                </c:pt>
                <c:pt idx="76">
                  <c:v>200</c:v>
                </c:pt>
                <c:pt idx="77">
                  <c:v>240</c:v>
                </c:pt>
                <c:pt idx="78">
                  <c:v>4050</c:v>
                </c:pt>
                <c:pt idx="79">
                  <c:v>150</c:v>
                </c:pt>
                <c:pt idx="80">
                  <c:v>1440</c:v>
                </c:pt>
                <c:pt idx="81">
                  <c:v>2500</c:v>
                </c:pt>
                <c:pt idx="82">
                  <c:v>4050</c:v>
                </c:pt>
                <c:pt idx="83">
                  <c:v>300</c:v>
                </c:pt>
                <c:pt idx="84">
                  <c:v>720</c:v>
                </c:pt>
                <c:pt idx="85">
                  <c:v>4500</c:v>
                </c:pt>
                <c:pt idx="86">
                  <c:v>200</c:v>
                </c:pt>
                <c:pt idx="87">
                  <c:v>240</c:v>
                </c:pt>
                <c:pt idx="88">
                  <c:v>4050</c:v>
                </c:pt>
                <c:pt idx="89">
                  <c:v>150</c:v>
                </c:pt>
                <c:pt idx="90">
                  <c:v>1440</c:v>
                </c:pt>
                <c:pt idx="91">
                  <c:v>2500</c:v>
                </c:pt>
                <c:pt idx="92">
                  <c:v>4050</c:v>
                </c:pt>
                <c:pt idx="93">
                  <c:v>300</c:v>
                </c:pt>
                <c:pt idx="94">
                  <c:v>720</c:v>
                </c:pt>
                <c:pt idx="95">
                  <c:v>4500</c:v>
                </c:pt>
                <c:pt idx="96">
                  <c:v>200</c:v>
                </c:pt>
                <c:pt idx="97">
                  <c:v>240</c:v>
                </c:pt>
                <c:pt idx="98">
                  <c:v>4050</c:v>
                </c:pt>
                <c:pt idx="99">
                  <c:v>150</c:v>
                </c:pt>
                <c:pt idx="100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4B13-427F-948B-19FCA9950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3810000" cy="952500"/>
    <xdr:pic>
      <xdr:nvPicPr>
        <xdr:cNvPr id="118853886" name="Chart1" title="Receita Total">
          <a:extLst>
            <a:ext uri="{FF2B5EF4-FFF2-40B4-BE49-F238E27FC236}">
              <a16:creationId xmlns:a16="http://schemas.microsoft.com/office/drawing/2014/main" id="{00000000-0008-0000-0100-0000FE9015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3810000" cy="952500"/>
    <xdr:pic>
      <xdr:nvPicPr>
        <xdr:cNvPr id="1997694209" name="Chart2" title="Número de Vendas">
          <a:extLst>
            <a:ext uri="{FF2B5EF4-FFF2-40B4-BE49-F238E27FC236}">
              <a16:creationId xmlns:a16="http://schemas.microsoft.com/office/drawing/2014/main" id="{00000000-0008-0000-0100-00000165127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715000" cy="3333750"/>
    <xdr:graphicFrame macro="">
      <xdr:nvGraphicFramePr>
        <xdr:cNvPr id="3" name="Chart 3" title="Vendas por Produ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10</xdr:row>
      <xdr:rowOff>0</xdr:rowOff>
    </xdr:from>
    <xdr:ext cx="5715000" cy="3333750"/>
    <xdr:graphicFrame macro="">
      <xdr:nvGraphicFramePr>
        <xdr:cNvPr id="4" name="Chart 4" title="Vendas por Método de Pagamen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76200</xdr:colOff>
      <xdr:row>0</xdr:row>
      <xdr:rowOff>76199</xdr:rowOff>
    </xdr:from>
    <xdr:ext cx="1905000" cy="3733801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ês_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_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76199"/>
              <a:ext cx="1905000" cy="3733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LocksWithSheet="0"/>
  </xdr:oneCellAnchor>
  <xdr:oneCellAnchor>
    <xdr:from>
      <xdr:col>0</xdr:col>
      <xdr:colOff>2047875</xdr:colOff>
      <xdr:row>0</xdr:row>
      <xdr:rowOff>66674</xdr:rowOff>
    </xdr:from>
    <xdr:ext cx="1905000" cy="3743325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Produto_2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_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875" y="66674"/>
              <a:ext cx="1905000" cy="374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LocksWithSheet="0"/>
  </xdr:oneCellAnchor>
  <xdr:oneCellAnchor>
    <xdr:from>
      <xdr:col>0</xdr:col>
      <xdr:colOff>95250</xdr:colOff>
      <xdr:row>19</xdr:row>
      <xdr:rowOff>57150</xdr:rowOff>
    </xdr:from>
    <xdr:ext cx="3810000" cy="1247775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Retirada ou envio_3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irada ou envio_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3857625"/>
              <a:ext cx="38100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LAUDIO" refreshedDate="46283.66546851852" refreshedVersion="8" recordCount="100" xr:uid="{00000000-000A-0000-FFFF-FFFF00000000}">
  <cacheSource type="worksheet">
    <worksheetSource ref="A1:N101" sheet="Base de Dados"/>
  </cacheSource>
  <cacheFields count="14">
    <cacheField name="ID da Venda" numFmtId="0">
      <sharedItems/>
    </cacheField>
    <cacheField name="Data da venda" numFmtId="164">
      <sharedItems containsSemiMixedTypes="0" containsNonDate="0" containsDate="1" containsString="0" minDate="2023-01-10T00:00:00" maxDate="2024-04-09T00:00:00"/>
    </cacheField>
    <cacheField name="Mês" numFmtId="0">
      <sharedItems/>
    </cacheField>
    <cacheField name="Nome do cliente" numFmtId="0">
      <sharedItems/>
    </cacheField>
    <cacheField name="Telefone cliente" numFmtId="0">
      <sharedItems containsSemiMixedTypes="0" containsString="0" containsNumber="1" containsInteger="1" minValue="11987654321" maxValue="11987654420"/>
    </cacheField>
    <cacheField name="Produto" numFmtId="0">
      <sharedItems count="6">
        <s v="Smartphone"/>
        <s v="Notebook"/>
        <s v="Fone de Ouvido"/>
        <s v="Monitor"/>
        <s v="Teclado"/>
        <s v="Mouse"/>
      </sharedItems>
    </cacheField>
    <cacheField name="Quantidade" numFmtId="0">
      <sharedItems containsSemiMixedTypes="0" containsString="0" containsNumber="1" containsInteger="1" minValue="1" maxValue="3"/>
    </cacheField>
    <cacheField name="Valor" numFmtId="0">
      <sharedItems containsSemiMixedTypes="0" containsString="0" containsNumber="1" containsInteger="1" minValue="80" maxValue="4500"/>
    </cacheField>
    <cacheField name="Valor Total" numFmtId="165">
      <sharedItems containsSemiMixedTypes="0" containsString="0" containsNumber="1" containsInteger="1" minValue="80" maxValue="9000"/>
    </cacheField>
    <cacheField name="Método de pagamento" numFmtId="0">
      <sharedItems count="3">
        <s v="pix"/>
        <s v="cartão"/>
        <s v="dinheiro"/>
      </sharedItems>
    </cacheField>
    <cacheField name="Teve Desconto?" numFmtId="0">
      <sharedItems/>
    </cacheField>
    <cacheField name="Valor do Desconto" numFmtId="166">
      <sharedItems containsSemiMixedTypes="0" containsString="0" containsNumber="1" minValue="0" maxValue="0.1"/>
    </cacheField>
    <cacheField name="Retirada ou envio" numFmtId="0">
      <sharedItems containsBlank="1"/>
    </cacheField>
    <cacheField name="Valor Total com Desconto" numFmtId="165">
      <sharedItems containsSemiMixedTypes="0" containsString="0" containsNumber="1" containsInteger="1" minValue="72" maxValue="8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VND-001"/>
    <d v="2023-01-10T00:00:00"/>
    <s v="Janeiro"/>
    <s v="Ana Silva"/>
    <n v="11987654321"/>
    <x v="0"/>
    <n v="1"/>
    <n v="2500"/>
    <n v="2500"/>
    <x v="0"/>
    <s v="não"/>
    <n v="0"/>
    <m/>
    <n v="2500"/>
  </r>
  <r>
    <s v="VND-002"/>
    <d v="2023-01-15T00:00:00"/>
    <s v="Janeiro"/>
    <s v="Bruno Souza"/>
    <n v="11987654322"/>
    <x v="1"/>
    <n v="1"/>
    <n v="4500"/>
    <n v="4500"/>
    <x v="1"/>
    <s v="sim"/>
    <n v="0.1"/>
    <s v="retirada"/>
    <n v="4050"/>
  </r>
  <r>
    <s v="VND-003"/>
    <d v="2023-02-05T00:00:00"/>
    <s v="Fevereiro"/>
    <s v="Carlos Lima"/>
    <n v="11987654323"/>
    <x v="2"/>
    <n v="2"/>
    <n v="150"/>
    <n v="300"/>
    <x v="0"/>
    <s v="não"/>
    <n v="0"/>
    <s v="envio"/>
    <n v="300"/>
  </r>
  <r>
    <s v="VND-004"/>
    <d v="2023-02-20T00:00:00"/>
    <s v="Fevereiro"/>
    <s v="Daniela Alves"/>
    <n v="11987654324"/>
    <x v="3"/>
    <n v="1"/>
    <n v="800"/>
    <n v="800"/>
    <x v="1"/>
    <s v="sim"/>
    <n v="0.1"/>
    <s v="envio"/>
    <n v="720"/>
  </r>
  <r>
    <s v="VND-005"/>
    <d v="2023-03-10T00:00:00"/>
    <s v="Março"/>
    <s v="Eduardo Costa"/>
    <n v="11987654325"/>
    <x v="0"/>
    <n v="2"/>
    <n v="2500"/>
    <n v="5000"/>
    <x v="1"/>
    <s v="sim"/>
    <n v="0.1"/>
    <s v="retirada"/>
    <n v="4500"/>
  </r>
  <r>
    <s v="VND-006"/>
    <d v="2023-03-25T00:00:00"/>
    <s v="Março"/>
    <s v="Fernanda Rocha"/>
    <n v="11987654326"/>
    <x v="4"/>
    <n v="1"/>
    <n v="200"/>
    <n v="200"/>
    <x v="2"/>
    <s v="não"/>
    <n v="0"/>
    <s v="retirada"/>
    <n v="200"/>
  </r>
  <r>
    <s v="VND-007"/>
    <d v="2023-04-02T00:00:00"/>
    <s v="Abril"/>
    <s v="Gabriel Martins"/>
    <n v="11987654327"/>
    <x v="5"/>
    <n v="3"/>
    <n v="80"/>
    <n v="240"/>
    <x v="0"/>
    <s v="não"/>
    <n v="0"/>
    <s v="envio"/>
    <n v="240"/>
  </r>
  <r>
    <s v="VND-008"/>
    <d v="2023-04-18T00:00:00"/>
    <s v="Abril"/>
    <s v="Helena Gomes"/>
    <n v="11987654328"/>
    <x v="1"/>
    <n v="1"/>
    <n v="4500"/>
    <n v="4500"/>
    <x v="1"/>
    <s v="sim"/>
    <n v="0.1"/>
    <s v="envio"/>
    <n v="4050"/>
  </r>
  <r>
    <s v="VND-009"/>
    <d v="2023-05-05T00:00:00"/>
    <s v="Maio"/>
    <s v="Igor Ferreira"/>
    <n v="11987654329"/>
    <x v="2"/>
    <n v="1"/>
    <n v="150"/>
    <n v="150"/>
    <x v="0"/>
    <s v="não"/>
    <n v="0"/>
    <s v="retirada"/>
    <n v="150"/>
  </r>
  <r>
    <s v="VND-010"/>
    <d v="2023-05-22T00:00:00"/>
    <s v="Maio"/>
    <s v="Juliana Mendes"/>
    <n v="11987654330"/>
    <x v="3"/>
    <n v="2"/>
    <n v="800"/>
    <n v="1600"/>
    <x v="1"/>
    <s v="sim"/>
    <n v="0.1"/>
    <s v="envio"/>
    <n v="1440"/>
  </r>
  <r>
    <s v="VND-011"/>
    <d v="2023-06-11T00:00:00"/>
    <s v="Junho"/>
    <s v="Lucas Castro"/>
    <n v="11987654331"/>
    <x v="0"/>
    <n v="1"/>
    <n v="2500"/>
    <n v="2500"/>
    <x v="2"/>
    <s v="não"/>
    <n v="0"/>
    <s v="retirada"/>
    <n v="2500"/>
  </r>
  <r>
    <s v="VND-012"/>
    <d v="2023-06-28T00:00:00"/>
    <s v="Junho"/>
    <s v="Mariana Silva"/>
    <n v="11987654332"/>
    <x v="4"/>
    <n v="2"/>
    <n v="200"/>
    <n v="400"/>
    <x v="0"/>
    <s v="não"/>
    <n v="0"/>
    <s v="envio"/>
    <n v="400"/>
  </r>
  <r>
    <s v="VND-013"/>
    <d v="2023-07-14T00:00:00"/>
    <s v="Julho"/>
    <s v="Nicolas Pereira"/>
    <n v="11987654333"/>
    <x v="5"/>
    <n v="1"/>
    <n v="80"/>
    <n v="80"/>
    <x v="1"/>
    <s v="sim"/>
    <n v="0.1"/>
    <s v="retirada"/>
    <n v="72"/>
  </r>
  <r>
    <s v="VND-014"/>
    <d v="2023-07-30T00:00:00"/>
    <s v="Julho"/>
    <s v="Olivia Dias"/>
    <n v="11987654334"/>
    <x v="1"/>
    <n v="1"/>
    <n v="4500"/>
    <n v="4500"/>
    <x v="0"/>
    <s v="não"/>
    <n v="0"/>
    <s v="envio"/>
    <n v="4500"/>
  </r>
  <r>
    <s v="VND-015"/>
    <d v="2023-08-15T00:00:00"/>
    <s v="Agosto"/>
    <s v="Pedro Ribeiro"/>
    <n v="11987654335"/>
    <x v="2"/>
    <n v="3"/>
    <n v="150"/>
    <n v="450"/>
    <x v="1"/>
    <s v="sim"/>
    <n v="0.1"/>
    <s v="envio"/>
    <n v="405"/>
  </r>
  <r>
    <s v="VND-016"/>
    <d v="2023-08-29T00:00:00"/>
    <s v="Agosto"/>
    <s v="Quintino Lopes"/>
    <n v="11987654336"/>
    <x v="3"/>
    <n v="1"/>
    <n v="800"/>
    <n v="800"/>
    <x v="2"/>
    <s v="não"/>
    <n v="0"/>
    <s v="retirada"/>
    <n v="800"/>
  </r>
  <r>
    <s v="VND-017"/>
    <d v="2023-09-12T00:00:00"/>
    <s v="Setembro"/>
    <s v="Rafaela Carvalho"/>
    <n v="11987654337"/>
    <x v="0"/>
    <n v="1"/>
    <n v="2500"/>
    <n v="2500"/>
    <x v="0"/>
    <s v="não"/>
    <n v="0"/>
    <s v="envio"/>
    <n v="2500"/>
  </r>
  <r>
    <s v="VND-018"/>
    <d v="2023-09-26T00:00:00"/>
    <s v="Setembro"/>
    <s v="Samuel Nogueira"/>
    <n v="11987654338"/>
    <x v="4"/>
    <n v="1"/>
    <n v="200"/>
    <n v="200"/>
    <x v="1"/>
    <s v="sim"/>
    <n v="0.1"/>
    <s v="retirada"/>
    <n v="180"/>
  </r>
  <r>
    <s v="VND-019"/>
    <d v="2023-10-10T00:00:00"/>
    <s v="Outubro"/>
    <s v="Tatiana Barros"/>
    <n v="11987654339"/>
    <x v="5"/>
    <n v="2"/>
    <n v="80"/>
    <n v="160"/>
    <x v="0"/>
    <s v="não"/>
    <n v="0"/>
    <s v="envio"/>
    <n v="160"/>
  </r>
  <r>
    <s v="VND-020"/>
    <d v="2023-10-25T00:00:00"/>
    <s v="Outubro"/>
    <s v="Ubirajara Pinto"/>
    <n v="11987654340"/>
    <x v="1"/>
    <n v="2"/>
    <n v="4500"/>
    <n v="9000"/>
    <x v="1"/>
    <s v="sim"/>
    <n v="0.1"/>
    <s v="envio"/>
    <n v="8100"/>
  </r>
  <r>
    <s v="VND-021"/>
    <d v="2023-11-01T00:00:00"/>
    <s v="Novembro"/>
    <s v="Cliente 21"/>
    <n v="11987654341"/>
    <x v="0"/>
    <n v="1"/>
    <n v="2500"/>
    <n v="2500"/>
    <x v="0"/>
    <s v="não"/>
    <n v="0"/>
    <s v="envio"/>
    <n v="2500"/>
  </r>
  <r>
    <s v="VND-022"/>
    <d v="2023-11-03T00:00:00"/>
    <s v="Novembro"/>
    <s v="Cliente 22"/>
    <n v="11987654342"/>
    <x v="1"/>
    <n v="1"/>
    <n v="4500"/>
    <n v="4500"/>
    <x v="1"/>
    <s v="sim"/>
    <n v="0.1"/>
    <s v="retirada"/>
    <n v="4050"/>
  </r>
  <r>
    <s v="VND-023"/>
    <d v="2023-11-05T00:00:00"/>
    <s v="Novembro"/>
    <s v="Cliente 23"/>
    <n v="11987654343"/>
    <x v="2"/>
    <n v="2"/>
    <n v="150"/>
    <n v="300"/>
    <x v="0"/>
    <s v="não"/>
    <n v="0"/>
    <s v="envio"/>
    <n v="300"/>
  </r>
  <r>
    <s v="VND-024"/>
    <d v="2023-11-07T00:00:00"/>
    <s v="Novembro"/>
    <s v="Cliente 24"/>
    <n v="11987654344"/>
    <x v="3"/>
    <n v="1"/>
    <n v="800"/>
    <n v="800"/>
    <x v="1"/>
    <s v="sim"/>
    <n v="0.1"/>
    <s v="envio"/>
    <n v="720"/>
  </r>
  <r>
    <s v="VND-025"/>
    <d v="2023-11-09T00:00:00"/>
    <s v="Novembro"/>
    <s v="Cliente 25"/>
    <n v="11987654345"/>
    <x v="0"/>
    <n v="2"/>
    <n v="2500"/>
    <n v="5000"/>
    <x v="1"/>
    <s v="sim"/>
    <n v="0.1"/>
    <s v="retirada"/>
    <n v="4500"/>
  </r>
  <r>
    <s v="VND-026"/>
    <d v="2023-11-11T00:00:00"/>
    <s v="Novembro"/>
    <s v="Cliente 26"/>
    <n v="11987654346"/>
    <x v="4"/>
    <n v="1"/>
    <n v="200"/>
    <n v="200"/>
    <x v="2"/>
    <s v="não"/>
    <n v="0"/>
    <s v="retirada"/>
    <n v="200"/>
  </r>
  <r>
    <s v="VND-027"/>
    <d v="2023-11-13T00:00:00"/>
    <s v="Novembro"/>
    <s v="Cliente 27"/>
    <n v="11987654347"/>
    <x v="5"/>
    <n v="3"/>
    <n v="80"/>
    <n v="240"/>
    <x v="0"/>
    <s v="não"/>
    <n v="0"/>
    <s v="envio"/>
    <n v="240"/>
  </r>
  <r>
    <s v="VND-028"/>
    <d v="2023-11-15T00:00:00"/>
    <s v="Novembro"/>
    <s v="Cliente 28"/>
    <n v="11987654348"/>
    <x v="1"/>
    <n v="1"/>
    <n v="4500"/>
    <n v="4500"/>
    <x v="1"/>
    <s v="sim"/>
    <n v="0.1"/>
    <s v="envio"/>
    <n v="4050"/>
  </r>
  <r>
    <s v="VND-029"/>
    <d v="2023-11-17T00:00:00"/>
    <s v="Novembro"/>
    <s v="Cliente 29"/>
    <n v="11987654349"/>
    <x v="2"/>
    <n v="1"/>
    <n v="150"/>
    <n v="150"/>
    <x v="0"/>
    <s v="não"/>
    <n v="0"/>
    <s v="retirada"/>
    <n v="150"/>
  </r>
  <r>
    <s v="VND-030"/>
    <d v="2023-11-19T00:00:00"/>
    <s v="Novembro"/>
    <s v="Cliente 30"/>
    <n v="11987654350"/>
    <x v="3"/>
    <n v="2"/>
    <n v="800"/>
    <n v="1600"/>
    <x v="1"/>
    <s v="sim"/>
    <n v="0.1"/>
    <s v="envio"/>
    <n v="1440"/>
  </r>
  <r>
    <s v="VND-031"/>
    <d v="2023-11-21T00:00:00"/>
    <s v="Novembro"/>
    <s v="Cliente 31"/>
    <n v="11987654351"/>
    <x v="0"/>
    <n v="1"/>
    <n v="2500"/>
    <n v="2500"/>
    <x v="0"/>
    <s v="não"/>
    <n v="0"/>
    <s v="envio"/>
    <n v="2500"/>
  </r>
  <r>
    <s v="VND-032"/>
    <d v="2023-11-23T00:00:00"/>
    <s v="Novembro"/>
    <s v="Cliente 32"/>
    <n v="11987654352"/>
    <x v="1"/>
    <n v="1"/>
    <n v="4500"/>
    <n v="4500"/>
    <x v="1"/>
    <s v="sim"/>
    <n v="0.1"/>
    <s v="retirada"/>
    <n v="4050"/>
  </r>
  <r>
    <s v="VND-033"/>
    <d v="2023-11-25T00:00:00"/>
    <s v="Novembro"/>
    <s v="Cliente 33"/>
    <n v="11987654353"/>
    <x v="2"/>
    <n v="2"/>
    <n v="150"/>
    <n v="300"/>
    <x v="0"/>
    <s v="não"/>
    <n v="0"/>
    <s v="envio"/>
    <n v="300"/>
  </r>
  <r>
    <s v="VND-034"/>
    <d v="2023-11-27T00:00:00"/>
    <s v="Novembro"/>
    <s v="Cliente 34"/>
    <n v="11987654354"/>
    <x v="3"/>
    <n v="1"/>
    <n v="800"/>
    <n v="800"/>
    <x v="1"/>
    <s v="sim"/>
    <n v="0.1"/>
    <s v="envio"/>
    <n v="720"/>
  </r>
  <r>
    <s v="VND-035"/>
    <d v="2023-11-29T00:00:00"/>
    <s v="Novembro"/>
    <s v="Cliente 35"/>
    <n v="11987654355"/>
    <x v="0"/>
    <n v="2"/>
    <n v="2500"/>
    <n v="5000"/>
    <x v="1"/>
    <s v="sim"/>
    <n v="0.1"/>
    <s v="retirada"/>
    <n v="4500"/>
  </r>
  <r>
    <s v="VND-036"/>
    <d v="2023-12-01T00:00:00"/>
    <s v="Dezembro"/>
    <s v="Cliente 36"/>
    <n v="11987654356"/>
    <x v="4"/>
    <n v="1"/>
    <n v="200"/>
    <n v="200"/>
    <x v="2"/>
    <s v="não"/>
    <n v="0"/>
    <s v="retirada"/>
    <n v="200"/>
  </r>
  <r>
    <s v="VND-037"/>
    <d v="2023-12-03T00:00:00"/>
    <s v="Dezembro"/>
    <s v="Cliente 37"/>
    <n v="11987654357"/>
    <x v="5"/>
    <n v="3"/>
    <n v="80"/>
    <n v="240"/>
    <x v="0"/>
    <s v="não"/>
    <n v="0"/>
    <s v="envio"/>
    <n v="240"/>
  </r>
  <r>
    <s v="VND-038"/>
    <d v="2023-12-05T00:00:00"/>
    <s v="Dezembro"/>
    <s v="Cliente 38"/>
    <n v="11987654358"/>
    <x v="1"/>
    <n v="1"/>
    <n v="4500"/>
    <n v="4500"/>
    <x v="1"/>
    <s v="sim"/>
    <n v="0.1"/>
    <s v="envio"/>
    <n v="4050"/>
  </r>
  <r>
    <s v="VND-039"/>
    <d v="2023-12-07T00:00:00"/>
    <s v="Dezembro"/>
    <s v="Cliente 39"/>
    <n v="11987654359"/>
    <x v="2"/>
    <n v="1"/>
    <n v="150"/>
    <n v="150"/>
    <x v="0"/>
    <s v="não"/>
    <n v="0"/>
    <s v="retirada"/>
    <n v="150"/>
  </r>
  <r>
    <s v="VND-040"/>
    <d v="2023-12-09T00:00:00"/>
    <s v="Dezembro"/>
    <s v="Cliente 40"/>
    <n v="11987654360"/>
    <x v="3"/>
    <n v="2"/>
    <n v="800"/>
    <n v="1600"/>
    <x v="1"/>
    <s v="sim"/>
    <n v="0.1"/>
    <s v="envio"/>
    <n v="1440"/>
  </r>
  <r>
    <s v="VND-041"/>
    <d v="2023-12-11T00:00:00"/>
    <s v="Dezembro"/>
    <s v="Cliente 41"/>
    <n v="11987654361"/>
    <x v="0"/>
    <n v="1"/>
    <n v="2500"/>
    <n v="2500"/>
    <x v="0"/>
    <s v="não"/>
    <n v="0"/>
    <s v="envio"/>
    <n v="2500"/>
  </r>
  <r>
    <s v="VND-042"/>
    <d v="2023-12-13T00:00:00"/>
    <s v="Dezembro"/>
    <s v="Cliente 42"/>
    <n v="11987654362"/>
    <x v="1"/>
    <n v="1"/>
    <n v="4500"/>
    <n v="4500"/>
    <x v="1"/>
    <s v="sim"/>
    <n v="0.1"/>
    <s v="retirada"/>
    <n v="4050"/>
  </r>
  <r>
    <s v="VND-043"/>
    <d v="2023-12-15T00:00:00"/>
    <s v="Dezembro"/>
    <s v="Cliente 43"/>
    <n v="11987654363"/>
    <x v="2"/>
    <n v="2"/>
    <n v="150"/>
    <n v="300"/>
    <x v="0"/>
    <s v="não"/>
    <n v="0"/>
    <s v="envio"/>
    <n v="300"/>
  </r>
  <r>
    <s v="VND-044"/>
    <d v="2023-12-17T00:00:00"/>
    <s v="Dezembro"/>
    <s v="Cliente 44"/>
    <n v="11987654364"/>
    <x v="3"/>
    <n v="1"/>
    <n v="800"/>
    <n v="800"/>
    <x v="1"/>
    <s v="sim"/>
    <n v="0.1"/>
    <s v="envio"/>
    <n v="720"/>
  </r>
  <r>
    <s v="VND-045"/>
    <d v="2023-12-19T00:00:00"/>
    <s v="Dezembro"/>
    <s v="Cliente 45"/>
    <n v="11987654365"/>
    <x v="0"/>
    <n v="2"/>
    <n v="2500"/>
    <n v="5000"/>
    <x v="1"/>
    <s v="sim"/>
    <n v="0.1"/>
    <s v="retirada"/>
    <n v="4500"/>
  </r>
  <r>
    <s v="VND-046"/>
    <d v="2023-12-21T00:00:00"/>
    <s v="Dezembro"/>
    <s v="Cliente 46"/>
    <n v="11987654366"/>
    <x v="4"/>
    <n v="1"/>
    <n v="200"/>
    <n v="200"/>
    <x v="2"/>
    <s v="não"/>
    <n v="0"/>
    <s v="retirada"/>
    <n v="200"/>
  </r>
  <r>
    <s v="VND-047"/>
    <d v="2023-12-23T00:00:00"/>
    <s v="Dezembro"/>
    <s v="Cliente 47"/>
    <n v="11987654367"/>
    <x v="5"/>
    <n v="3"/>
    <n v="80"/>
    <n v="240"/>
    <x v="0"/>
    <s v="não"/>
    <n v="0"/>
    <s v="envio"/>
    <n v="240"/>
  </r>
  <r>
    <s v="VND-048"/>
    <d v="2023-12-25T00:00:00"/>
    <s v="Dezembro"/>
    <s v="Cliente 48"/>
    <n v="11987654368"/>
    <x v="1"/>
    <n v="1"/>
    <n v="4500"/>
    <n v="4500"/>
    <x v="1"/>
    <s v="sim"/>
    <n v="0.1"/>
    <s v="envio"/>
    <n v="4050"/>
  </r>
  <r>
    <s v="VND-049"/>
    <d v="2023-12-27T00:00:00"/>
    <s v="Dezembro"/>
    <s v="Cliente 49"/>
    <n v="11987654369"/>
    <x v="2"/>
    <n v="1"/>
    <n v="150"/>
    <n v="150"/>
    <x v="0"/>
    <s v="não"/>
    <n v="0"/>
    <s v="retirada"/>
    <n v="150"/>
  </r>
  <r>
    <s v="VND-050"/>
    <d v="2023-12-29T00:00:00"/>
    <s v="Dezembro"/>
    <s v="Cliente 50"/>
    <n v="11987654370"/>
    <x v="3"/>
    <n v="2"/>
    <n v="800"/>
    <n v="1600"/>
    <x v="1"/>
    <s v="sim"/>
    <n v="0.1"/>
    <s v="envio"/>
    <n v="1440"/>
  </r>
  <r>
    <s v="VND-051"/>
    <d v="2024-01-01T00:00:00"/>
    <s v="Janeiro"/>
    <s v="Cliente 51"/>
    <n v="11987654371"/>
    <x v="0"/>
    <n v="1"/>
    <n v="2500"/>
    <n v="2500"/>
    <x v="0"/>
    <s v="não"/>
    <n v="0"/>
    <s v="envio"/>
    <n v="2500"/>
  </r>
  <r>
    <s v="VND-052"/>
    <d v="2024-01-03T00:00:00"/>
    <s v="Janeiro"/>
    <s v="Cliente 52"/>
    <n v="11987654372"/>
    <x v="1"/>
    <n v="1"/>
    <n v="4500"/>
    <n v="4500"/>
    <x v="1"/>
    <s v="sim"/>
    <n v="0.1"/>
    <s v="retirada"/>
    <n v="4050"/>
  </r>
  <r>
    <s v="VND-053"/>
    <d v="2024-01-05T00:00:00"/>
    <s v="Janeiro"/>
    <s v="Cliente 53"/>
    <n v="11987654373"/>
    <x v="2"/>
    <n v="2"/>
    <n v="150"/>
    <n v="300"/>
    <x v="0"/>
    <s v="não"/>
    <n v="0"/>
    <s v="envio"/>
    <n v="300"/>
  </r>
  <r>
    <s v="VND-054"/>
    <d v="2024-01-07T00:00:00"/>
    <s v="Janeiro"/>
    <s v="Cliente 54"/>
    <n v="11987654374"/>
    <x v="3"/>
    <n v="1"/>
    <n v="800"/>
    <n v="800"/>
    <x v="1"/>
    <s v="sim"/>
    <n v="0.1"/>
    <s v="envio"/>
    <n v="720"/>
  </r>
  <r>
    <s v="VND-055"/>
    <d v="2024-01-09T00:00:00"/>
    <s v="Janeiro"/>
    <s v="Cliente 55"/>
    <n v="11987654375"/>
    <x v="0"/>
    <n v="2"/>
    <n v="2500"/>
    <n v="5000"/>
    <x v="1"/>
    <s v="sim"/>
    <n v="0.1"/>
    <s v="retirada"/>
    <n v="4500"/>
  </r>
  <r>
    <s v="VND-056"/>
    <d v="2024-01-11T00:00:00"/>
    <s v="Janeiro"/>
    <s v="Cliente 56"/>
    <n v="11987654376"/>
    <x v="4"/>
    <n v="1"/>
    <n v="200"/>
    <n v="200"/>
    <x v="2"/>
    <s v="não"/>
    <n v="0"/>
    <s v="retirada"/>
    <n v="200"/>
  </r>
  <r>
    <s v="VND-057"/>
    <d v="2024-01-13T00:00:00"/>
    <s v="Janeiro"/>
    <s v="Cliente 57"/>
    <n v="11987654377"/>
    <x v="5"/>
    <n v="3"/>
    <n v="80"/>
    <n v="240"/>
    <x v="0"/>
    <s v="não"/>
    <n v="0"/>
    <s v="envio"/>
    <n v="240"/>
  </r>
  <r>
    <s v="VND-058"/>
    <d v="2024-01-15T00:00:00"/>
    <s v="Janeiro"/>
    <s v="Cliente 58"/>
    <n v="11987654378"/>
    <x v="1"/>
    <n v="1"/>
    <n v="4500"/>
    <n v="4500"/>
    <x v="1"/>
    <s v="sim"/>
    <n v="0.1"/>
    <s v="envio"/>
    <n v="4050"/>
  </r>
  <r>
    <s v="VND-059"/>
    <d v="2024-01-17T00:00:00"/>
    <s v="Janeiro"/>
    <s v="Cliente 59"/>
    <n v="11987654379"/>
    <x v="2"/>
    <n v="1"/>
    <n v="150"/>
    <n v="150"/>
    <x v="0"/>
    <s v="não"/>
    <n v="0"/>
    <s v="retirada"/>
    <n v="150"/>
  </r>
  <r>
    <s v="VND-060"/>
    <d v="2024-01-19T00:00:00"/>
    <s v="Janeiro"/>
    <s v="Cliente 60"/>
    <n v="11987654380"/>
    <x v="3"/>
    <n v="2"/>
    <n v="800"/>
    <n v="1600"/>
    <x v="1"/>
    <s v="sim"/>
    <n v="0.1"/>
    <s v="envio"/>
    <n v="1440"/>
  </r>
  <r>
    <s v="VND-061"/>
    <d v="2024-01-21T00:00:00"/>
    <s v="Janeiro"/>
    <s v="Cliente 61"/>
    <n v="11987654381"/>
    <x v="0"/>
    <n v="1"/>
    <n v="2500"/>
    <n v="2500"/>
    <x v="0"/>
    <s v="não"/>
    <n v="0"/>
    <s v="envio"/>
    <n v="2500"/>
  </r>
  <r>
    <s v="VND-062"/>
    <d v="2024-01-23T00:00:00"/>
    <s v="Janeiro"/>
    <s v="Cliente 62"/>
    <n v="11987654382"/>
    <x v="1"/>
    <n v="1"/>
    <n v="4500"/>
    <n v="4500"/>
    <x v="1"/>
    <s v="sim"/>
    <n v="0.1"/>
    <s v="retirada"/>
    <n v="4050"/>
  </r>
  <r>
    <s v="VND-063"/>
    <d v="2024-01-25T00:00:00"/>
    <s v="Janeiro"/>
    <s v="Cliente 63"/>
    <n v="11987654383"/>
    <x v="2"/>
    <n v="2"/>
    <n v="150"/>
    <n v="300"/>
    <x v="0"/>
    <s v="não"/>
    <n v="0"/>
    <s v="envio"/>
    <n v="300"/>
  </r>
  <r>
    <s v="VND-064"/>
    <d v="2024-01-27T00:00:00"/>
    <s v="Janeiro"/>
    <s v="Cliente 64"/>
    <n v="11987654384"/>
    <x v="3"/>
    <n v="1"/>
    <n v="800"/>
    <n v="800"/>
    <x v="1"/>
    <s v="sim"/>
    <n v="0.1"/>
    <s v="envio"/>
    <n v="720"/>
  </r>
  <r>
    <s v="VND-065"/>
    <d v="2024-01-29T00:00:00"/>
    <s v="Janeiro"/>
    <s v="Cliente 65"/>
    <n v="11987654385"/>
    <x v="0"/>
    <n v="2"/>
    <n v="2500"/>
    <n v="5000"/>
    <x v="1"/>
    <s v="sim"/>
    <n v="0.1"/>
    <s v="retirada"/>
    <n v="4500"/>
  </r>
  <r>
    <s v="VND-066"/>
    <d v="2024-01-31T00:00:00"/>
    <s v="Janeiro"/>
    <s v="Cliente 66"/>
    <n v="11987654386"/>
    <x v="4"/>
    <n v="1"/>
    <n v="200"/>
    <n v="200"/>
    <x v="2"/>
    <s v="não"/>
    <n v="0"/>
    <s v="retirada"/>
    <n v="200"/>
  </r>
  <r>
    <s v="VND-067"/>
    <d v="2024-02-02T00:00:00"/>
    <s v="Fevereiro"/>
    <s v="Cliente 67"/>
    <n v="11987654387"/>
    <x v="5"/>
    <n v="3"/>
    <n v="80"/>
    <n v="240"/>
    <x v="0"/>
    <s v="não"/>
    <n v="0"/>
    <s v="envio"/>
    <n v="240"/>
  </r>
  <r>
    <s v="VND-068"/>
    <d v="2024-02-04T00:00:00"/>
    <s v="Fevereiro"/>
    <s v="Cliente 68"/>
    <n v="11987654388"/>
    <x v="1"/>
    <n v="1"/>
    <n v="4500"/>
    <n v="4500"/>
    <x v="1"/>
    <s v="sim"/>
    <n v="0.1"/>
    <s v="envio"/>
    <n v="4050"/>
  </r>
  <r>
    <s v="VND-069"/>
    <d v="2024-02-06T00:00:00"/>
    <s v="Fevereiro"/>
    <s v="Cliente 69"/>
    <n v="11987654389"/>
    <x v="2"/>
    <n v="1"/>
    <n v="150"/>
    <n v="150"/>
    <x v="0"/>
    <s v="não"/>
    <n v="0"/>
    <s v="retirada"/>
    <n v="150"/>
  </r>
  <r>
    <s v="VND-070"/>
    <d v="2024-02-08T00:00:00"/>
    <s v="Fevereiro"/>
    <s v="Cliente 70"/>
    <n v="11987654390"/>
    <x v="3"/>
    <n v="2"/>
    <n v="800"/>
    <n v="1600"/>
    <x v="1"/>
    <s v="sim"/>
    <n v="0.1"/>
    <s v="envio"/>
    <n v="1440"/>
  </r>
  <r>
    <s v="VND-071"/>
    <d v="2024-02-10T00:00:00"/>
    <s v="Fevereiro"/>
    <s v="Cliente 71"/>
    <n v="11987654391"/>
    <x v="0"/>
    <n v="1"/>
    <n v="2500"/>
    <n v="2500"/>
    <x v="0"/>
    <s v="não"/>
    <n v="0"/>
    <s v="envio"/>
    <n v="2500"/>
  </r>
  <r>
    <s v="VND-072"/>
    <d v="2024-02-12T00:00:00"/>
    <s v="Fevereiro"/>
    <s v="Cliente 72"/>
    <n v="11987654392"/>
    <x v="1"/>
    <n v="1"/>
    <n v="4500"/>
    <n v="4500"/>
    <x v="1"/>
    <s v="sim"/>
    <n v="0.1"/>
    <s v="retirada"/>
    <n v="4050"/>
  </r>
  <r>
    <s v="VND-073"/>
    <d v="2024-02-14T00:00:00"/>
    <s v="Fevereiro"/>
    <s v="Cliente 73"/>
    <n v="11987654393"/>
    <x v="2"/>
    <n v="2"/>
    <n v="150"/>
    <n v="300"/>
    <x v="0"/>
    <s v="não"/>
    <n v="0"/>
    <s v="envio"/>
    <n v="300"/>
  </r>
  <r>
    <s v="VND-074"/>
    <d v="2024-02-16T00:00:00"/>
    <s v="Fevereiro"/>
    <s v="Cliente 74"/>
    <n v="11987654394"/>
    <x v="3"/>
    <n v="1"/>
    <n v="800"/>
    <n v="800"/>
    <x v="1"/>
    <s v="sim"/>
    <n v="0.1"/>
    <s v="envio"/>
    <n v="720"/>
  </r>
  <r>
    <s v="VND-075"/>
    <d v="2024-02-18T00:00:00"/>
    <s v="Fevereiro"/>
    <s v="Cliente 75"/>
    <n v="11987654395"/>
    <x v="0"/>
    <n v="2"/>
    <n v="2500"/>
    <n v="5000"/>
    <x v="1"/>
    <s v="sim"/>
    <n v="0.1"/>
    <s v="retirada"/>
    <n v="4500"/>
  </r>
  <r>
    <s v="VND-076"/>
    <d v="2024-02-20T00:00:00"/>
    <s v="Fevereiro"/>
    <s v="Cliente 76"/>
    <n v="11987654396"/>
    <x v="4"/>
    <n v="1"/>
    <n v="200"/>
    <n v="200"/>
    <x v="2"/>
    <s v="não"/>
    <n v="0"/>
    <s v="retirada"/>
    <n v="200"/>
  </r>
  <r>
    <s v="VND-077"/>
    <d v="2024-02-22T00:00:00"/>
    <s v="Fevereiro"/>
    <s v="Cliente 77"/>
    <n v="11987654397"/>
    <x v="5"/>
    <n v="3"/>
    <n v="80"/>
    <n v="240"/>
    <x v="0"/>
    <s v="não"/>
    <n v="0"/>
    <s v="envio"/>
    <n v="240"/>
  </r>
  <r>
    <s v="VND-078"/>
    <d v="2024-02-24T00:00:00"/>
    <s v="Fevereiro"/>
    <s v="Cliente 78"/>
    <n v="11987654398"/>
    <x v="1"/>
    <n v="1"/>
    <n v="4500"/>
    <n v="4500"/>
    <x v="1"/>
    <s v="sim"/>
    <n v="0.1"/>
    <s v="envio"/>
    <n v="4050"/>
  </r>
  <r>
    <s v="VND-079"/>
    <d v="2024-02-26T00:00:00"/>
    <s v="Fevereiro"/>
    <s v="Cliente 79"/>
    <n v="11987654399"/>
    <x v="2"/>
    <n v="1"/>
    <n v="150"/>
    <n v="150"/>
    <x v="0"/>
    <s v="não"/>
    <n v="0"/>
    <s v="retirada"/>
    <n v="150"/>
  </r>
  <r>
    <s v="VND-080"/>
    <d v="2024-02-28T00:00:00"/>
    <s v="Fevereiro"/>
    <s v="Cliente 80"/>
    <n v="11987654400"/>
    <x v="3"/>
    <n v="2"/>
    <n v="800"/>
    <n v="1600"/>
    <x v="1"/>
    <s v="sim"/>
    <n v="0.1"/>
    <s v="envio"/>
    <n v="1440"/>
  </r>
  <r>
    <s v="VND-081"/>
    <d v="2024-03-01T00:00:00"/>
    <s v="Março"/>
    <s v="Cliente 81"/>
    <n v="11987654401"/>
    <x v="0"/>
    <n v="1"/>
    <n v="2500"/>
    <n v="2500"/>
    <x v="0"/>
    <s v="não"/>
    <n v="0"/>
    <s v="envio"/>
    <n v="2500"/>
  </r>
  <r>
    <s v="VND-082"/>
    <d v="2024-03-03T00:00:00"/>
    <s v="Março"/>
    <s v="Cliente 82"/>
    <n v="11987654402"/>
    <x v="1"/>
    <n v="1"/>
    <n v="4500"/>
    <n v="4500"/>
    <x v="1"/>
    <s v="sim"/>
    <n v="0.1"/>
    <s v="retirada"/>
    <n v="4050"/>
  </r>
  <r>
    <s v="VND-083"/>
    <d v="2024-03-05T00:00:00"/>
    <s v="Março"/>
    <s v="Cliente 83"/>
    <n v="11987654403"/>
    <x v="2"/>
    <n v="2"/>
    <n v="150"/>
    <n v="300"/>
    <x v="0"/>
    <s v="não"/>
    <n v="0"/>
    <s v="envio"/>
    <n v="300"/>
  </r>
  <r>
    <s v="VND-084"/>
    <d v="2024-03-07T00:00:00"/>
    <s v="Março"/>
    <s v="Cliente 84"/>
    <n v="11987654404"/>
    <x v="3"/>
    <n v="1"/>
    <n v="800"/>
    <n v="800"/>
    <x v="1"/>
    <s v="sim"/>
    <n v="0.1"/>
    <s v="envio"/>
    <n v="720"/>
  </r>
  <r>
    <s v="VND-085"/>
    <d v="2024-03-09T00:00:00"/>
    <s v="Março"/>
    <s v="Cliente 85"/>
    <n v="11987654405"/>
    <x v="0"/>
    <n v="2"/>
    <n v="2500"/>
    <n v="5000"/>
    <x v="1"/>
    <s v="sim"/>
    <n v="0.1"/>
    <s v="retirada"/>
    <n v="4500"/>
  </r>
  <r>
    <s v="VND-086"/>
    <d v="2024-03-11T00:00:00"/>
    <s v="Março"/>
    <s v="Cliente 86"/>
    <n v="11987654406"/>
    <x v="4"/>
    <n v="1"/>
    <n v="200"/>
    <n v="200"/>
    <x v="2"/>
    <s v="não"/>
    <n v="0"/>
    <s v="retirada"/>
    <n v="200"/>
  </r>
  <r>
    <s v="VND-087"/>
    <d v="2024-03-13T00:00:00"/>
    <s v="Março"/>
    <s v="Cliente 87"/>
    <n v="11987654407"/>
    <x v="5"/>
    <n v="3"/>
    <n v="80"/>
    <n v="240"/>
    <x v="0"/>
    <s v="não"/>
    <n v="0"/>
    <s v="envio"/>
    <n v="240"/>
  </r>
  <r>
    <s v="VND-088"/>
    <d v="2024-03-15T00:00:00"/>
    <s v="Março"/>
    <s v="Cliente 88"/>
    <n v="11987654408"/>
    <x v="1"/>
    <n v="1"/>
    <n v="4500"/>
    <n v="4500"/>
    <x v="1"/>
    <s v="sim"/>
    <n v="0.1"/>
    <s v="envio"/>
    <n v="4050"/>
  </r>
  <r>
    <s v="VND-089"/>
    <d v="2024-03-17T00:00:00"/>
    <s v="Março"/>
    <s v="Cliente 89"/>
    <n v="11987654409"/>
    <x v="2"/>
    <n v="1"/>
    <n v="150"/>
    <n v="150"/>
    <x v="0"/>
    <s v="não"/>
    <n v="0"/>
    <s v="retirada"/>
    <n v="150"/>
  </r>
  <r>
    <s v="VND-090"/>
    <d v="2024-03-19T00:00:00"/>
    <s v="Março"/>
    <s v="Cliente 90"/>
    <n v="11987654410"/>
    <x v="3"/>
    <n v="2"/>
    <n v="800"/>
    <n v="1600"/>
    <x v="1"/>
    <s v="sim"/>
    <n v="0.1"/>
    <s v="envio"/>
    <n v="1440"/>
  </r>
  <r>
    <s v="VND-091"/>
    <d v="2024-03-21T00:00:00"/>
    <s v="Março"/>
    <s v="Cliente 91"/>
    <n v="11987654411"/>
    <x v="0"/>
    <n v="1"/>
    <n v="2500"/>
    <n v="2500"/>
    <x v="0"/>
    <s v="não"/>
    <n v="0"/>
    <s v="envio"/>
    <n v="2500"/>
  </r>
  <r>
    <s v="VND-092"/>
    <d v="2024-03-23T00:00:00"/>
    <s v="Março"/>
    <s v="Cliente 92"/>
    <n v="11987654412"/>
    <x v="1"/>
    <n v="1"/>
    <n v="4500"/>
    <n v="4500"/>
    <x v="1"/>
    <s v="sim"/>
    <n v="0.1"/>
    <s v="retirada"/>
    <n v="4050"/>
  </r>
  <r>
    <s v="VND-093"/>
    <d v="2024-03-25T00:00:00"/>
    <s v="Março"/>
    <s v="Cliente 93"/>
    <n v="11987654413"/>
    <x v="2"/>
    <n v="2"/>
    <n v="150"/>
    <n v="300"/>
    <x v="0"/>
    <s v="não"/>
    <n v="0"/>
    <s v="envio"/>
    <n v="300"/>
  </r>
  <r>
    <s v="VND-094"/>
    <d v="2024-03-27T00:00:00"/>
    <s v="Março"/>
    <s v="Cliente 94"/>
    <n v="11987654414"/>
    <x v="3"/>
    <n v="1"/>
    <n v="800"/>
    <n v="800"/>
    <x v="1"/>
    <s v="sim"/>
    <n v="0.1"/>
    <s v="envio"/>
    <n v="720"/>
  </r>
  <r>
    <s v="VND-095"/>
    <d v="2024-03-29T00:00:00"/>
    <s v="Março"/>
    <s v="Cliente 95"/>
    <n v="11987654415"/>
    <x v="0"/>
    <n v="2"/>
    <n v="2500"/>
    <n v="5000"/>
    <x v="1"/>
    <s v="sim"/>
    <n v="0.1"/>
    <s v="retirada"/>
    <n v="4500"/>
  </r>
  <r>
    <s v="VND-096"/>
    <d v="2024-03-31T00:00:00"/>
    <s v="Março"/>
    <s v="Cliente 96"/>
    <n v="11987654416"/>
    <x v="4"/>
    <n v="1"/>
    <n v="200"/>
    <n v="200"/>
    <x v="2"/>
    <s v="não"/>
    <n v="0"/>
    <s v="retirada"/>
    <n v="200"/>
  </r>
  <r>
    <s v="VND-097"/>
    <d v="2024-04-02T00:00:00"/>
    <s v="Abril"/>
    <s v="Cliente 97"/>
    <n v="11987654417"/>
    <x v="5"/>
    <n v="3"/>
    <n v="80"/>
    <n v="240"/>
    <x v="0"/>
    <s v="não"/>
    <n v="0"/>
    <s v="envio"/>
    <n v="240"/>
  </r>
  <r>
    <s v="VND-098"/>
    <d v="2024-04-04T00:00:00"/>
    <s v="Abril"/>
    <s v="Cliente 98"/>
    <n v="11987654418"/>
    <x v="1"/>
    <n v="1"/>
    <n v="4500"/>
    <n v="4500"/>
    <x v="1"/>
    <s v="sim"/>
    <n v="0.1"/>
    <s v="envio"/>
    <n v="4050"/>
  </r>
  <r>
    <s v="VND-099"/>
    <d v="2024-04-06T00:00:00"/>
    <s v="Abril"/>
    <s v="Cliente 99"/>
    <n v="11987654419"/>
    <x v="2"/>
    <n v="1"/>
    <n v="150"/>
    <n v="150"/>
    <x v="0"/>
    <s v="não"/>
    <n v="0"/>
    <s v="retirada"/>
    <n v="150"/>
  </r>
  <r>
    <s v="VND-100"/>
    <d v="2024-04-08T00:00:00"/>
    <s v="Abril"/>
    <s v="Cliente 100"/>
    <n v="11987654420"/>
    <x v="3"/>
    <n v="2"/>
    <n v="800"/>
    <n v="1600"/>
    <x v="1"/>
    <s v="sim"/>
    <n v="0.1"/>
    <s v="envio"/>
    <n v="14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shboard_Data 2" cacheId="5" applyNumberFormats="0" applyBorderFormats="0" applyFontFormats="0" applyPatternFormats="0" applyAlignmentFormats="0" applyWidthHeightFormats="0" dataCaption="" updatedVersion="8" compact="0" compactData="0">
  <location ref="E1:F5" firstHeaderRow="1" firstDataRow="1" firstDataCol="1"/>
  <pivotFields count="14">
    <pivotField name="ID da Venda" compact="0" outline="0" multipleItemSelectionAllowed="1" showAll="0"/>
    <pivotField name="Data da venda" compact="0" numFmtId="164" outline="0" multipleItemSelectionAllowed="1" showAll="0"/>
    <pivotField name="Mês" compact="0" outline="0" multipleItemSelectionAllowed="1" showAll="0"/>
    <pivotField name="Nome do cliente" compact="0" outline="0" multipleItemSelectionAllowed="1" showAll="0"/>
    <pivotField name="Telefone cliente" compact="0" outline="0" multipleItemSelectionAllowed="1" showAll="0"/>
    <pivotField name="Produto" compact="0" outline="0" multipleItemSelectionAllowed="1" showAll="0"/>
    <pivotField name="Quantidade" compact="0" outline="0" multipleItemSelectionAllowed="1" showAll="0"/>
    <pivotField name="Valor" compact="0" numFmtId="165" outline="0" multipleItemSelectionAllowed="1" showAll="0"/>
    <pivotField name="Valor Total" compact="0" numFmtId="165" outline="0" multipleItemSelectionAllowed="1" showAll="0"/>
    <pivotField name="Método de pagamento" axis="axisRow" compact="0" outline="0" multipleItemSelectionAllowed="1" showAll="0" sortType="ascending">
      <items count="4">
        <item x="1"/>
        <item x="2"/>
        <item x="0"/>
        <item t="default"/>
      </items>
    </pivotField>
    <pivotField name="Teve Desconto?" compact="0" outline="0" multipleItemSelectionAllowed="1" showAll="0"/>
    <pivotField name="Valor do Desconto" compact="0" numFmtId="166" outline="0" multipleItemSelectionAllowed="1" showAll="0"/>
    <pivotField name="Retirada ou envio" compact="0" outline="0" multipleItemSelectionAllowed="1" showAll="0"/>
    <pivotField name="Valor Total com Desconto" dataField="1" compact="0" numFmtId="165" outline="0" multipleItemSelectionAllowe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de Valor Total com Desconto" fld="13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shboard_Data" cacheId="5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4">
    <pivotField name="ID da Venda" compact="0" outline="0" multipleItemSelectionAllowed="1" showAll="0"/>
    <pivotField name="Data da venda" compact="0" numFmtId="164" outline="0" multipleItemSelectionAllowed="1" showAll="0"/>
    <pivotField name="Mês" compact="0" outline="0" multipleItemSelectionAllowed="1" showAll="0"/>
    <pivotField name="Nome do cliente" compact="0" outline="0" multipleItemSelectionAllowed="1" showAll="0"/>
    <pivotField name="Telefone cliente" compact="0" outline="0" multipleItemSelectionAllowed="1" showAll="0"/>
    <pivotField name="Produto" axis="axisRow" compact="0" outline="0" multipleItemSelectionAllowed="1" showAll="0" sortType="ascending">
      <items count="7">
        <item x="2"/>
        <item x="3"/>
        <item x="5"/>
        <item x="1"/>
        <item x="0"/>
        <item x="4"/>
        <item t="default"/>
      </items>
    </pivotField>
    <pivotField name="Quantidade" compact="0" outline="0" multipleItemSelectionAllowed="1" showAll="0"/>
    <pivotField name="Valor" compact="0" numFmtId="165" outline="0" multipleItemSelectionAllowed="1" showAll="0"/>
    <pivotField name="Valor Total" compact="0" numFmtId="165" outline="0" multipleItemSelectionAllowed="1" showAll="0"/>
    <pivotField name="Método de pagamento" compact="0" outline="0" multipleItemSelectionAllowed="1" showAll="0"/>
    <pivotField name="Teve Desconto?" compact="0" outline="0" multipleItemSelectionAllowed="1" showAll="0"/>
    <pivotField name="Valor do Desconto" compact="0" numFmtId="166" outline="0" multipleItemSelectionAllowed="1" showAll="0"/>
    <pivotField name="Retirada ou envio" compact="0" outline="0" multipleItemSelectionAllowed="1" showAll="0"/>
    <pivotField name="Valor Total com Desconto" dataField="1" compact="0" numFmtId="165" outline="0" multipleItemSelectionAllowe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de Valor Total com Desconto" fld="13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3" xr10:uid="{00000000-0013-0000-FFFF-FFFF01000000}" sourceName="Mês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6" xr10:uid="{00000000-0013-0000-FFFF-FFFF02000000}" sourceName="Produ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1_Col_13" xr10:uid="{00000000-0013-0000-FFFF-FFFF03000000}" sourceName="Retirada ou envio">
  <extLst>
    <x:ext xmlns:x15="http://schemas.microsoft.com/office/spreadsheetml/2010/11/main" uri="{2F2917AC-EB37-4324-AD4E-5DD8C200BD13}">
      <x15:tableSlicerCache tableId="1" column="1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_1" xr10:uid="{00000000-0014-0000-FFFF-FFFF01000000}" cache="SlicerCache_Table_1_Col_3" caption="Mês" rowHeight="247650"/>
  <slicer name="Produto_2" xr10:uid="{00000000-0014-0000-FFFF-FFFF02000000}" cache="SlicerCache_Table_1_Col_6" caption="Produto" rowHeight="247650"/>
  <slicer name="Retirada ou envio_3" xr10:uid="{00000000-0014-0000-FFFF-FFFF03000000}" cache="SlicerCache_Table_1_Col_13" caption="Retirada ou envi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01" headerRowDxfId="14">
  <autoFilter ref="A1:N101" xr:uid="{00000000-0009-0000-0100-000001000000}"/>
  <tableColumns count="14">
    <tableColumn id="1" xr3:uid="{00000000-0010-0000-0000-000001000000}" name="ID da Venda" dataDxfId="5"/>
    <tableColumn id="2" xr3:uid="{00000000-0010-0000-0000-000002000000}" name="Data da venda" dataDxfId="3"/>
    <tableColumn id="3" xr3:uid="{00000000-0010-0000-0000-000003000000}" name="Mês" dataDxfId="4"/>
    <tableColumn id="4" xr3:uid="{00000000-0010-0000-0000-000004000000}" name="Nome do cliente" dataDxfId="2"/>
    <tableColumn id="5" xr3:uid="{00000000-0010-0000-0000-000005000000}" name="Telefone cliente" dataDxfId="0"/>
    <tableColumn id="6" xr3:uid="{00000000-0010-0000-0000-000006000000}" name="Produto" dataDxfId="1"/>
    <tableColumn id="7" xr3:uid="{00000000-0010-0000-0000-000007000000}" name="Quantidade" dataDxfId="13"/>
    <tableColumn id="8" xr3:uid="{00000000-0010-0000-0000-000008000000}" name="Valor" dataDxfId="12" dataCellStyle="Moeda"/>
    <tableColumn id="9" xr3:uid="{00000000-0010-0000-0000-000009000000}" name="Valor Total" dataDxfId="11" dataCellStyle="Moeda"/>
    <tableColumn id="10" xr3:uid="{00000000-0010-0000-0000-00000A000000}" name="Método de pagamento" dataDxfId="10"/>
    <tableColumn id="11" xr3:uid="{00000000-0010-0000-0000-00000B000000}" name="Teve Desconto?" dataDxfId="9"/>
    <tableColumn id="12" xr3:uid="{00000000-0010-0000-0000-00000C000000}" name="Valor do Desconto" dataDxfId="8"/>
    <tableColumn id="13" xr3:uid="{00000000-0010-0000-0000-00000D000000}" name="Retirada ou envio" dataDxfId="7"/>
    <tableColumn id="14" xr3:uid="{00000000-0010-0000-0000-00000E000000}" name="Valor Total com Desconto" dataDxfId="6" dataCellStyle="Moeda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1"/>
  <sheetViews>
    <sheetView workbookViewId="0">
      <selection activeCell="F15" sqref="F15"/>
    </sheetView>
  </sheetViews>
  <sheetFormatPr defaultColWidth="12.5703125" defaultRowHeight="15.75" customHeight="1" x14ac:dyDescent="0.2"/>
  <cols>
    <col min="1" max="1" width="13.140625" customWidth="1"/>
    <col min="2" max="14" width="18.5703125" customWidth="1"/>
  </cols>
  <sheetData>
    <row r="1" spans="1:14" s="9" customFormat="1" ht="35.25" customHeight="1" x14ac:dyDescent="0.35">
      <c r="A1" s="8" t="s">
        <v>2</v>
      </c>
      <c r="B1" s="8" t="s">
        <v>4</v>
      </c>
      <c r="C1" s="8" t="s">
        <v>5</v>
      </c>
      <c r="D1" s="8" t="s">
        <v>7</v>
      </c>
      <c r="E1" s="8" t="s">
        <v>8</v>
      </c>
      <c r="F1" s="8" t="s">
        <v>0</v>
      </c>
      <c r="G1" s="8" t="s">
        <v>9</v>
      </c>
      <c r="H1" s="8" t="s">
        <v>10</v>
      </c>
      <c r="I1" s="8" t="s">
        <v>12</v>
      </c>
      <c r="J1" s="8" t="s">
        <v>3</v>
      </c>
      <c r="K1" s="8" t="s">
        <v>14</v>
      </c>
      <c r="L1" s="8" t="s">
        <v>16</v>
      </c>
      <c r="M1" s="8" t="s">
        <v>17</v>
      </c>
      <c r="N1" s="8" t="s">
        <v>19</v>
      </c>
    </row>
    <row r="2" spans="1:14" ht="12.75" x14ac:dyDescent="0.2">
      <c r="A2" s="10" t="s">
        <v>22</v>
      </c>
      <c r="B2" s="16">
        <v>44936</v>
      </c>
      <c r="C2" s="1" t="s">
        <v>25</v>
      </c>
      <c r="D2" s="1" t="s">
        <v>26</v>
      </c>
      <c r="E2" s="18">
        <v>11987654321</v>
      </c>
      <c r="F2" s="1" t="s">
        <v>23</v>
      </c>
      <c r="G2" s="10">
        <v>1</v>
      </c>
      <c r="H2" s="11">
        <v>2500</v>
      </c>
      <c r="I2" s="11">
        <f t="shared" ref="I2:I101" si="0">G2*H2</f>
        <v>2500</v>
      </c>
      <c r="J2" s="10" t="s">
        <v>20</v>
      </c>
      <c r="K2" s="10" t="s">
        <v>27</v>
      </c>
      <c r="L2" s="12">
        <f t="shared" ref="L2:L101" si="1">IF(K2="sim", 0.1, 0)</f>
        <v>0</v>
      </c>
      <c r="M2" s="10" t="s">
        <v>35</v>
      </c>
      <c r="N2" s="11">
        <f t="shared" ref="N2:N101" si="2">I2-(I2*L2)</f>
        <v>2500</v>
      </c>
    </row>
    <row r="3" spans="1:14" ht="12.75" x14ac:dyDescent="0.2">
      <c r="A3" s="10" t="s">
        <v>28</v>
      </c>
      <c r="B3" s="16">
        <v>44941</v>
      </c>
      <c r="C3" s="1" t="s">
        <v>25</v>
      </c>
      <c r="D3" s="1" t="s">
        <v>29</v>
      </c>
      <c r="E3" s="18">
        <v>11987654322</v>
      </c>
      <c r="F3" s="1" t="s">
        <v>21</v>
      </c>
      <c r="G3" s="10">
        <v>1</v>
      </c>
      <c r="H3" s="11">
        <v>4500</v>
      </c>
      <c r="I3" s="11">
        <f t="shared" si="0"/>
        <v>4500</v>
      </c>
      <c r="J3" s="10" t="s">
        <v>11</v>
      </c>
      <c r="K3" s="10" t="s">
        <v>30</v>
      </c>
      <c r="L3" s="12">
        <f t="shared" si="1"/>
        <v>0.1</v>
      </c>
      <c r="M3" s="10" t="s">
        <v>31</v>
      </c>
      <c r="N3" s="11">
        <f t="shared" si="2"/>
        <v>4050</v>
      </c>
    </row>
    <row r="4" spans="1:14" ht="12.75" x14ac:dyDescent="0.2">
      <c r="A4" s="10" t="s">
        <v>32</v>
      </c>
      <c r="B4" s="16">
        <v>44962</v>
      </c>
      <c r="C4" s="1" t="s">
        <v>33</v>
      </c>
      <c r="D4" s="1" t="s">
        <v>34</v>
      </c>
      <c r="E4" s="18">
        <v>11987654323</v>
      </c>
      <c r="F4" s="1" t="s">
        <v>6</v>
      </c>
      <c r="G4" s="10">
        <v>2</v>
      </c>
      <c r="H4" s="11">
        <v>150</v>
      </c>
      <c r="I4" s="11">
        <f t="shared" si="0"/>
        <v>300</v>
      </c>
      <c r="J4" s="10" t="s">
        <v>20</v>
      </c>
      <c r="K4" s="10" t="s">
        <v>27</v>
      </c>
      <c r="L4" s="12">
        <f t="shared" si="1"/>
        <v>0</v>
      </c>
      <c r="M4" s="10" t="s">
        <v>35</v>
      </c>
      <c r="N4" s="11">
        <f t="shared" si="2"/>
        <v>300</v>
      </c>
    </row>
    <row r="5" spans="1:14" ht="12.75" x14ac:dyDescent="0.2">
      <c r="A5" s="10" t="s">
        <v>36</v>
      </c>
      <c r="B5" s="16">
        <v>44977</v>
      </c>
      <c r="C5" s="1" t="s">
        <v>33</v>
      </c>
      <c r="D5" s="1" t="s">
        <v>37</v>
      </c>
      <c r="E5" s="18">
        <v>11987654324</v>
      </c>
      <c r="F5" s="1" t="s">
        <v>13</v>
      </c>
      <c r="G5" s="10">
        <v>1</v>
      </c>
      <c r="H5" s="11">
        <v>800</v>
      </c>
      <c r="I5" s="11">
        <f t="shared" si="0"/>
        <v>800</v>
      </c>
      <c r="J5" s="10" t="s">
        <v>11</v>
      </c>
      <c r="K5" s="10" t="s">
        <v>30</v>
      </c>
      <c r="L5" s="12">
        <f t="shared" si="1"/>
        <v>0.1</v>
      </c>
      <c r="M5" s="10" t="s">
        <v>35</v>
      </c>
      <c r="N5" s="11">
        <f t="shared" si="2"/>
        <v>720</v>
      </c>
    </row>
    <row r="6" spans="1:14" ht="12.75" x14ac:dyDescent="0.2">
      <c r="A6" s="10" t="s">
        <v>38</v>
      </c>
      <c r="B6" s="16">
        <v>44995</v>
      </c>
      <c r="C6" s="1" t="s">
        <v>39</v>
      </c>
      <c r="D6" s="1" t="s">
        <v>40</v>
      </c>
      <c r="E6" s="18">
        <v>11987654325</v>
      </c>
      <c r="F6" s="1" t="s">
        <v>23</v>
      </c>
      <c r="G6" s="10">
        <v>2</v>
      </c>
      <c r="H6" s="11">
        <v>2500</v>
      </c>
      <c r="I6" s="11">
        <f t="shared" si="0"/>
        <v>5000</v>
      </c>
      <c r="J6" s="10" t="s">
        <v>11</v>
      </c>
      <c r="K6" s="10" t="s">
        <v>30</v>
      </c>
      <c r="L6" s="12">
        <f t="shared" si="1"/>
        <v>0.1</v>
      </c>
      <c r="M6" s="10" t="s">
        <v>31</v>
      </c>
      <c r="N6" s="11">
        <f t="shared" si="2"/>
        <v>4500</v>
      </c>
    </row>
    <row r="7" spans="1:14" ht="12.75" x14ac:dyDescent="0.2">
      <c r="A7" s="10" t="s">
        <v>41</v>
      </c>
      <c r="B7" s="16">
        <v>45010</v>
      </c>
      <c r="C7" s="1" t="s">
        <v>39</v>
      </c>
      <c r="D7" s="1" t="s">
        <v>42</v>
      </c>
      <c r="E7" s="18">
        <v>11987654326</v>
      </c>
      <c r="F7" s="1" t="s">
        <v>24</v>
      </c>
      <c r="G7" s="10">
        <v>1</v>
      </c>
      <c r="H7" s="11">
        <v>200</v>
      </c>
      <c r="I7" s="11">
        <f t="shared" si="0"/>
        <v>200</v>
      </c>
      <c r="J7" s="10" t="s">
        <v>15</v>
      </c>
      <c r="K7" s="10" t="s">
        <v>27</v>
      </c>
      <c r="L7" s="12">
        <f t="shared" si="1"/>
        <v>0</v>
      </c>
      <c r="M7" s="10" t="s">
        <v>31</v>
      </c>
      <c r="N7" s="11">
        <f t="shared" si="2"/>
        <v>200</v>
      </c>
    </row>
    <row r="8" spans="1:14" ht="12.75" x14ac:dyDescent="0.2">
      <c r="A8" s="10" t="s">
        <v>43</v>
      </c>
      <c r="B8" s="16">
        <v>45018</v>
      </c>
      <c r="C8" s="1" t="s">
        <v>44</v>
      </c>
      <c r="D8" s="1" t="s">
        <v>45</v>
      </c>
      <c r="E8" s="18">
        <v>11987654327</v>
      </c>
      <c r="F8" s="1" t="s">
        <v>18</v>
      </c>
      <c r="G8" s="10">
        <v>3</v>
      </c>
      <c r="H8" s="11">
        <v>80</v>
      </c>
      <c r="I8" s="11">
        <f t="shared" si="0"/>
        <v>240</v>
      </c>
      <c r="J8" s="10" t="s">
        <v>20</v>
      </c>
      <c r="K8" s="10" t="s">
        <v>27</v>
      </c>
      <c r="L8" s="12">
        <f t="shared" si="1"/>
        <v>0</v>
      </c>
      <c r="M8" s="10" t="s">
        <v>35</v>
      </c>
      <c r="N8" s="11">
        <f t="shared" si="2"/>
        <v>240</v>
      </c>
    </row>
    <row r="9" spans="1:14" ht="12.75" x14ac:dyDescent="0.2">
      <c r="A9" s="10" t="s">
        <v>46</v>
      </c>
      <c r="B9" s="16">
        <v>45034</v>
      </c>
      <c r="C9" s="1" t="s">
        <v>44</v>
      </c>
      <c r="D9" s="1" t="s">
        <v>47</v>
      </c>
      <c r="E9" s="18">
        <v>11987654328</v>
      </c>
      <c r="F9" s="1" t="s">
        <v>21</v>
      </c>
      <c r="G9" s="10">
        <v>1</v>
      </c>
      <c r="H9" s="11">
        <v>4500</v>
      </c>
      <c r="I9" s="11">
        <f t="shared" si="0"/>
        <v>4500</v>
      </c>
      <c r="J9" s="10" t="s">
        <v>11</v>
      </c>
      <c r="K9" s="10" t="s">
        <v>30</v>
      </c>
      <c r="L9" s="12">
        <f t="shared" si="1"/>
        <v>0.1</v>
      </c>
      <c r="M9" s="10" t="s">
        <v>35</v>
      </c>
      <c r="N9" s="11">
        <f t="shared" si="2"/>
        <v>4050</v>
      </c>
    </row>
    <row r="10" spans="1:14" ht="12.75" x14ac:dyDescent="0.2">
      <c r="A10" s="10" t="s">
        <v>48</v>
      </c>
      <c r="B10" s="16">
        <v>45051</v>
      </c>
      <c r="C10" s="1" t="s">
        <v>49</v>
      </c>
      <c r="D10" s="1" t="s">
        <v>50</v>
      </c>
      <c r="E10" s="18">
        <v>11987654329</v>
      </c>
      <c r="F10" s="1" t="s">
        <v>6</v>
      </c>
      <c r="G10" s="10">
        <v>1</v>
      </c>
      <c r="H10" s="11">
        <v>150</v>
      </c>
      <c r="I10" s="11">
        <f t="shared" si="0"/>
        <v>150</v>
      </c>
      <c r="J10" s="10" t="s">
        <v>20</v>
      </c>
      <c r="K10" s="10" t="s">
        <v>27</v>
      </c>
      <c r="L10" s="12">
        <f t="shared" si="1"/>
        <v>0</v>
      </c>
      <c r="M10" s="10" t="s">
        <v>31</v>
      </c>
      <c r="N10" s="11">
        <f t="shared" si="2"/>
        <v>150</v>
      </c>
    </row>
    <row r="11" spans="1:14" ht="12.75" x14ac:dyDescent="0.2">
      <c r="A11" s="10" t="s">
        <v>51</v>
      </c>
      <c r="B11" s="16">
        <v>45068</v>
      </c>
      <c r="C11" s="1" t="s">
        <v>49</v>
      </c>
      <c r="D11" s="1" t="s">
        <v>52</v>
      </c>
      <c r="E11" s="18">
        <v>11987654330</v>
      </c>
      <c r="F11" s="1" t="s">
        <v>13</v>
      </c>
      <c r="G11" s="10">
        <v>2</v>
      </c>
      <c r="H11" s="11">
        <v>800</v>
      </c>
      <c r="I11" s="11">
        <f t="shared" si="0"/>
        <v>1600</v>
      </c>
      <c r="J11" s="10" t="s">
        <v>11</v>
      </c>
      <c r="K11" s="10" t="s">
        <v>30</v>
      </c>
      <c r="L11" s="12">
        <f t="shared" si="1"/>
        <v>0.1</v>
      </c>
      <c r="M11" s="10" t="s">
        <v>35</v>
      </c>
      <c r="N11" s="11">
        <f t="shared" si="2"/>
        <v>1440</v>
      </c>
    </row>
    <row r="12" spans="1:14" ht="12.75" x14ac:dyDescent="0.2">
      <c r="A12" s="10" t="s">
        <v>53</v>
      </c>
      <c r="B12" s="16">
        <v>45088</v>
      </c>
      <c r="C12" s="1" t="s">
        <v>54</v>
      </c>
      <c r="D12" s="1" t="s">
        <v>55</v>
      </c>
      <c r="E12" s="18">
        <v>11987654331</v>
      </c>
      <c r="F12" s="1" t="s">
        <v>23</v>
      </c>
      <c r="G12" s="10">
        <v>1</v>
      </c>
      <c r="H12" s="11">
        <v>2500</v>
      </c>
      <c r="I12" s="11">
        <f t="shared" si="0"/>
        <v>2500</v>
      </c>
      <c r="J12" s="10" t="s">
        <v>15</v>
      </c>
      <c r="K12" s="10" t="s">
        <v>27</v>
      </c>
      <c r="L12" s="12">
        <f t="shared" si="1"/>
        <v>0</v>
      </c>
      <c r="M12" s="10" t="s">
        <v>31</v>
      </c>
      <c r="N12" s="11">
        <f t="shared" si="2"/>
        <v>2500</v>
      </c>
    </row>
    <row r="13" spans="1:14" ht="12.75" x14ac:dyDescent="0.2">
      <c r="A13" s="10" t="s">
        <v>56</v>
      </c>
      <c r="B13" s="16">
        <v>45105</v>
      </c>
      <c r="C13" s="1" t="s">
        <v>54</v>
      </c>
      <c r="D13" s="1" t="s">
        <v>57</v>
      </c>
      <c r="E13" s="18">
        <v>11987654332</v>
      </c>
      <c r="F13" s="1" t="s">
        <v>24</v>
      </c>
      <c r="G13" s="10">
        <v>2</v>
      </c>
      <c r="H13" s="11">
        <v>200</v>
      </c>
      <c r="I13" s="11">
        <f t="shared" si="0"/>
        <v>400</v>
      </c>
      <c r="J13" s="10" t="s">
        <v>20</v>
      </c>
      <c r="K13" s="10" t="s">
        <v>27</v>
      </c>
      <c r="L13" s="12">
        <f t="shared" si="1"/>
        <v>0</v>
      </c>
      <c r="M13" s="10" t="s">
        <v>35</v>
      </c>
      <c r="N13" s="11">
        <f t="shared" si="2"/>
        <v>400</v>
      </c>
    </row>
    <row r="14" spans="1:14" ht="12.75" x14ac:dyDescent="0.2">
      <c r="A14" s="10" t="s">
        <v>58</v>
      </c>
      <c r="B14" s="16">
        <v>45121</v>
      </c>
      <c r="C14" s="1" t="s">
        <v>59</v>
      </c>
      <c r="D14" s="1" t="s">
        <v>60</v>
      </c>
      <c r="E14" s="18">
        <v>11987654333</v>
      </c>
      <c r="F14" s="1" t="s">
        <v>18</v>
      </c>
      <c r="G14" s="10">
        <v>1</v>
      </c>
      <c r="H14" s="11">
        <v>80</v>
      </c>
      <c r="I14" s="11">
        <f t="shared" si="0"/>
        <v>80</v>
      </c>
      <c r="J14" s="10" t="s">
        <v>11</v>
      </c>
      <c r="K14" s="10" t="s">
        <v>30</v>
      </c>
      <c r="L14" s="12">
        <f t="shared" si="1"/>
        <v>0.1</v>
      </c>
      <c r="M14" s="10" t="s">
        <v>31</v>
      </c>
      <c r="N14" s="11">
        <f t="shared" si="2"/>
        <v>72</v>
      </c>
    </row>
    <row r="15" spans="1:14" ht="12.75" x14ac:dyDescent="0.2">
      <c r="A15" s="10" t="s">
        <v>61</v>
      </c>
      <c r="B15" s="16">
        <v>45137</v>
      </c>
      <c r="C15" s="1" t="s">
        <v>59</v>
      </c>
      <c r="D15" s="1" t="s">
        <v>62</v>
      </c>
      <c r="E15" s="18">
        <v>11987654334</v>
      </c>
      <c r="F15" s="1" t="s">
        <v>21</v>
      </c>
      <c r="G15" s="10">
        <v>1</v>
      </c>
      <c r="H15" s="11">
        <v>4500</v>
      </c>
      <c r="I15" s="11">
        <f t="shared" si="0"/>
        <v>4500</v>
      </c>
      <c r="J15" s="10" t="s">
        <v>20</v>
      </c>
      <c r="K15" s="10" t="s">
        <v>27</v>
      </c>
      <c r="L15" s="12">
        <f t="shared" si="1"/>
        <v>0</v>
      </c>
      <c r="M15" s="10" t="s">
        <v>35</v>
      </c>
      <c r="N15" s="11">
        <f t="shared" si="2"/>
        <v>4500</v>
      </c>
    </row>
    <row r="16" spans="1:14" ht="12.75" x14ac:dyDescent="0.2">
      <c r="A16" s="10" t="s">
        <v>63</v>
      </c>
      <c r="B16" s="16">
        <v>45153</v>
      </c>
      <c r="C16" s="1" t="s">
        <v>64</v>
      </c>
      <c r="D16" s="1" t="s">
        <v>65</v>
      </c>
      <c r="E16" s="18">
        <v>11987654335</v>
      </c>
      <c r="F16" s="1" t="s">
        <v>6</v>
      </c>
      <c r="G16" s="10">
        <v>3</v>
      </c>
      <c r="H16" s="11">
        <v>150</v>
      </c>
      <c r="I16" s="11">
        <f t="shared" si="0"/>
        <v>450</v>
      </c>
      <c r="J16" s="10" t="s">
        <v>11</v>
      </c>
      <c r="K16" s="10" t="s">
        <v>30</v>
      </c>
      <c r="L16" s="12">
        <f t="shared" si="1"/>
        <v>0.1</v>
      </c>
      <c r="M16" s="10" t="s">
        <v>35</v>
      </c>
      <c r="N16" s="11">
        <f t="shared" si="2"/>
        <v>405</v>
      </c>
    </row>
    <row r="17" spans="1:14" ht="12.75" x14ac:dyDescent="0.2">
      <c r="A17" s="10" t="s">
        <v>66</v>
      </c>
      <c r="B17" s="16">
        <v>45167</v>
      </c>
      <c r="C17" s="1" t="s">
        <v>64</v>
      </c>
      <c r="D17" s="1" t="s">
        <v>67</v>
      </c>
      <c r="E17" s="18">
        <v>11987654336</v>
      </c>
      <c r="F17" s="1" t="s">
        <v>13</v>
      </c>
      <c r="G17" s="10">
        <v>1</v>
      </c>
      <c r="H17" s="11">
        <v>800</v>
      </c>
      <c r="I17" s="11">
        <f t="shared" si="0"/>
        <v>800</v>
      </c>
      <c r="J17" s="10" t="s">
        <v>15</v>
      </c>
      <c r="K17" s="10" t="s">
        <v>27</v>
      </c>
      <c r="L17" s="12">
        <f t="shared" si="1"/>
        <v>0</v>
      </c>
      <c r="M17" s="10" t="s">
        <v>31</v>
      </c>
      <c r="N17" s="11">
        <f t="shared" si="2"/>
        <v>800</v>
      </c>
    </row>
    <row r="18" spans="1:14" ht="12.75" x14ac:dyDescent="0.2">
      <c r="A18" s="10" t="s">
        <v>68</v>
      </c>
      <c r="B18" s="16">
        <v>45181</v>
      </c>
      <c r="C18" s="1" t="s">
        <v>69</v>
      </c>
      <c r="D18" s="1" t="s">
        <v>70</v>
      </c>
      <c r="E18" s="18">
        <v>11987654337</v>
      </c>
      <c r="F18" s="1" t="s">
        <v>23</v>
      </c>
      <c r="G18" s="10">
        <v>1</v>
      </c>
      <c r="H18" s="11">
        <v>2500</v>
      </c>
      <c r="I18" s="11">
        <f t="shared" si="0"/>
        <v>2500</v>
      </c>
      <c r="J18" s="10" t="s">
        <v>20</v>
      </c>
      <c r="K18" s="10" t="s">
        <v>27</v>
      </c>
      <c r="L18" s="12">
        <f t="shared" si="1"/>
        <v>0</v>
      </c>
      <c r="M18" s="10" t="s">
        <v>35</v>
      </c>
      <c r="N18" s="11">
        <f t="shared" si="2"/>
        <v>2500</v>
      </c>
    </row>
    <row r="19" spans="1:14" ht="12.75" x14ac:dyDescent="0.2">
      <c r="A19" s="10" t="s">
        <v>71</v>
      </c>
      <c r="B19" s="16">
        <v>45195</v>
      </c>
      <c r="C19" s="1" t="s">
        <v>69</v>
      </c>
      <c r="D19" s="1" t="s">
        <v>72</v>
      </c>
      <c r="E19" s="18">
        <v>11987654338</v>
      </c>
      <c r="F19" s="1" t="s">
        <v>24</v>
      </c>
      <c r="G19" s="10">
        <v>1</v>
      </c>
      <c r="H19" s="11">
        <v>200</v>
      </c>
      <c r="I19" s="11">
        <f t="shared" si="0"/>
        <v>200</v>
      </c>
      <c r="J19" s="10" t="s">
        <v>11</v>
      </c>
      <c r="K19" s="10" t="s">
        <v>30</v>
      </c>
      <c r="L19" s="12">
        <f t="shared" si="1"/>
        <v>0.1</v>
      </c>
      <c r="M19" s="10" t="s">
        <v>31</v>
      </c>
      <c r="N19" s="11">
        <f t="shared" si="2"/>
        <v>180</v>
      </c>
    </row>
    <row r="20" spans="1:14" ht="12.75" x14ac:dyDescent="0.2">
      <c r="A20" s="10" t="s">
        <v>73</v>
      </c>
      <c r="B20" s="16">
        <v>45209</v>
      </c>
      <c r="C20" s="1" t="s">
        <v>74</v>
      </c>
      <c r="D20" s="1" t="s">
        <v>75</v>
      </c>
      <c r="E20" s="18">
        <v>11987654339</v>
      </c>
      <c r="F20" s="1" t="s">
        <v>18</v>
      </c>
      <c r="G20" s="10">
        <v>2</v>
      </c>
      <c r="H20" s="11">
        <v>80</v>
      </c>
      <c r="I20" s="11">
        <f t="shared" si="0"/>
        <v>160</v>
      </c>
      <c r="J20" s="10" t="s">
        <v>20</v>
      </c>
      <c r="K20" s="10" t="s">
        <v>27</v>
      </c>
      <c r="L20" s="12">
        <f t="shared" si="1"/>
        <v>0</v>
      </c>
      <c r="M20" s="10" t="s">
        <v>35</v>
      </c>
      <c r="N20" s="11">
        <f t="shared" si="2"/>
        <v>160</v>
      </c>
    </row>
    <row r="21" spans="1:14" ht="12.75" x14ac:dyDescent="0.2">
      <c r="A21" s="10" t="s">
        <v>76</v>
      </c>
      <c r="B21" s="16">
        <v>45224</v>
      </c>
      <c r="C21" s="1" t="s">
        <v>74</v>
      </c>
      <c r="D21" s="1" t="s">
        <v>77</v>
      </c>
      <c r="E21" s="18">
        <v>11987654340</v>
      </c>
      <c r="F21" s="1" t="s">
        <v>21</v>
      </c>
      <c r="G21" s="10">
        <v>2</v>
      </c>
      <c r="H21" s="11">
        <v>4500</v>
      </c>
      <c r="I21" s="11">
        <f t="shared" si="0"/>
        <v>9000</v>
      </c>
      <c r="J21" s="10" t="s">
        <v>11</v>
      </c>
      <c r="K21" s="10" t="s">
        <v>30</v>
      </c>
      <c r="L21" s="12">
        <f t="shared" si="1"/>
        <v>0.1</v>
      </c>
      <c r="M21" s="10" t="s">
        <v>35</v>
      </c>
      <c r="N21" s="11">
        <f t="shared" si="2"/>
        <v>8100</v>
      </c>
    </row>
    <row r="22" spans="1:14" ht="12.75" x14ac:dyDescent="0.2">
      <c r="A22" s="13" t="s">
        <v>78</v>
      </c>
      <c r="B22" s="17">
        <v>45231</v>
      </c>
      <c r="C22" s="2" t="s">
        <v>79</v>
      </c>
      <c r="D22" s="2" t="s">
        <v>80</v>
      </c>
      <c r="E22" s="19">
        <v>11987654341</v>
      </c>
      <c r="F22" s="2" t="s">
        <v>23</v>
      </c>
      <c r="G22" s="13">
        <v>1</v>
      </c>
      <c r="H22" s="14">
        <v>2500</v>
      </c>
      <c r="I22" s="14">
        <f t="shared" si="0"/>
        <v>2500</v>
      </c>
      <c r="J22" s="13" t="s">
        <v>20</v>
      </c>
      <c r="K22" s="13" t="s">
        <v>27</v>
      </c>
      <c r="L22" s="15">
        <f t="shared" si="1"/>
        <v>0</v>
      </c>
      <c r="M22" s="13" t="s">
        <v>35</v>
      </c>
      <c r="N22" s="14">
        <f t="shared" si="2"/>
        <v>2500</v>
      </c>
    </row>
    <row r="23" spans="1:14" ht="12.75" x14ac:dyDescent="0.2">
      <c r="A23" s="13" t="s">
        <v>81</v>
      </c>
      <c r="B23" s="17">
        <v>45233</v>
      </c>
      <c r="C23" s="2" t="s">
        <v>79</v>
      </c>
      <c r="D23" s="2" t="s">
        <v>82</v>
      </c>
      <c r="E23" s="19">
        <v>11987654342</v>
      </c>
      <c r="F23" s="2" t="s">
        <v>21</v>
      </c>
      <c r="G23" s="13">
        <v>1</v>
      </c>
      <c r="H23" s="14">
        <v>4500</v>
      </c>
      <c r="I23" s="14">
        <f t="shared" si="0"/>
        <v>4500</v>
      </c>
      <c r="J23" s="13" t="s">
        <v>11</v>
      </c>
      <c r="K23" s="13" t="s">
        <v>30</v>
      </c>
      <c r="L23" s="15">
        <f t="shared" si="1"/>
        <v>0.1</v>
      </c>
      <c r="M23" s="13" t="s">
        <v>31</v>
      </c>
      <c r="N23" s="14">
        <f t="shared" si="2"/>
        <v>4050</v>
      </c>
    </row>
    <row r="24" spans="1:14" ht="12.75" x14ac:dyDescent="0.2">
      <c r="A24" s="13" t="s">
        <v>83</v>
      </c>
      <c r="B24" s="17">
        <v>45235</v>
      </c>
      <c r="C24" s="2" t="s">
        <v>79</v>
      </c>
      <c r="D24" s="2" t="s">
        <v>84</v>
      </c>
      <c r="E24" s="19">
        <v>11987654343</v>
      </c>
      <c r="F24" s="2" t="s">
        <v>6</v>
      </c>
      <c r="G24" s="13">
        <v>2</v>
      </c>
      <c r="H24" s="14">
        <v>150</v>
      </c>
      <c r="I24" s="14">
        <f t="shared" si="0"/>
        <v>300</v>
      </c>
      <c r="J24" s="13" t="s">
        <v>20</v>
      </c>
      <c r="K24" s="13" t="s">
        <v>27</v>
      </c>
      <c r="L24" s="15">
        <f t="shared" si="1"/>
        <v>0</v>
      </c>
      <c r="M24" s="13" t="s">
        <v>35</v>
      </c>
      <c r="N24" s="14">
        <f t="shared" si="2"/>
        <v>300</v>
      </c>
    </row>
    <row r="25" spans="1:14" ht="12.75" x14ac:dyDescent="0.2">
      <c r="A25" s="13" t="s">
        <v>85</v>
      </c>
      <c r="B25" s="17">
        <v>45237</v>
      </c>
      <c r="C25" s="2" t="s">
        <v>79</v>
      </c>
      <c r="D25" s="2" t="s">
        <v>86</v>
      </c>
      <c r="E25" s="19">
        <v>11987654344</v>
      </c>
      <c r="F25" s="2" t="s">
        <v>13</v>
      </c>
      <c r="G25" s="13">
        <v>1</v>
      </c>
      <c r="H25" s="14">
        <v>800</v>
      </c>
      <c r="I25" s="14">
        <f t="shared" si="0"/>
        <v>800</v>
      </c>
      <c r="J25" s="13" t="s">
        <v>11</v>
      </c>
      <c r="K25" s="13" t="s">
        <v>30</v>
      </c>
      <c r="L25" s="15">
        <f t="shared" si="1"/>
        <v>0.1</v>
      </c>
      <c r="M25" s="13" t="s">
        <v>35</v>
      </c>
      <c r="N25" s="14">
        <f t="shared" si="2"/>
        <v>720</v>
      </c>
    </row>
    <row r="26" spans="1:14" ht="12.75" x14ac:dyDescent="0.2">
      <c r="A26" s="13" t="s">
        <v>87</v>
      </c>
      <c r="B26" s="17">
        <v>45239</v>
      </c>
      <c r="C26" s="2" t="s">
        <v>79</v>
      </c>
      <c r="D26" s="2" t="s">
        <v>88</v>
      </c>
      <c r="E26" s="19">
        <v>11987654345</v>
      </c>
      <c r="F26" s="2" t="s">
        <v>23</v>
      </c>
      <c r="G26" s="13">
        <v>2</v>
      </c>
      <c r="H26" s="14">
        <v>2500</v>
      </c>
      <c r="I26" s="14">
        <f t="shared" si="0"/>
        <v>5000</v>
      </c>
      <c r="J26" s="13" t="s">
        <v>11</v>
      </c>
      <c r="K26" s="13" t="s">
        <v>30</v>
      </c>
      <c r="L26" s="15">
        <f t="shared" si="1"/>
        <v>0.1</v>
      </c>
      <c r="M26" s="13" t="s">
        <v>31</v>
      </c>
      <c r="N26" s="14">
        <f t="shared" si="2"/>
        <v>4500</v>
      </c>
    </row>
    <row r="27" spans="1:14" ht="12.75" x14ac:dyDescent="0.2">
      <c r="A27" s="13" t="s">
        <v>89</v>
      </c>
      <c r="B27" s="17">
        <v>45241</v>
      </c>
      <c r="C27" s="2" t="s">
        <v>79</v>
      </c>
      <c r="D27" s="2" t="s">
        <v>90</v>
      </c>
      <c r="E27" s="19">
        <v>11987654346</v>
      </c>
      <c r="F27" s="2" t="s">
        <v>24</v>
      </c>
      <c r="G27" s="13">
        <v>1</v>
      </c>
      <c r="H27" s="14">
        <v>200</v>
      </c>
      <c r="I27" s="14">
        <f t="shared" si="0"/>
        <v>200</v>
      </c>
      <c r="J27" s="13" t="s">
        <v>15</v>
      </c>
      <c r="K27" s="13" t="s">
        <v>27</v>
      </c>
      <c r="L27" s="15">
        <f t="shared" si="1"/>
        <v>0</v>
      </c>
      <c r="M27" s="13" t="s">
        <v>31</v>
      </c>
      <c r="N27" s="14">
        <f t="shared" si="2"/>
        <v>200</v>
      </c>
    </row>
    <row r="28" spans="1:14" ht="12.75" x14ac:dyDescent="0.2">
      <c r="A28" s="13" t="s">
        <v>91</v>
      </c>
      <c r="B28" s="17">
        <v>45243</v>
      </c>
      <c r="C28" s="2" t="s">
        <v>79</v>
      </c>
      <c r="D28" s="2" t="s">
        <v>92</v>
      </c>
      <c r="E28" s="19">
        <v>11987654347</v>
      </c>
      <c r="F28" s="2" t="s">
        <v>18</v>
      </c>
      <c r="G28" s="13">
        <v>3</v>
      </c>
      <c r="H28" s="14">
        <v>80</v>
      </c>
      <c r="I28" s="14">
        <f t="shared" si="0"/>
        <v>240</v>
      </c>
      <c r="J28" s="13" t="s">
        <v>20</v>
      </c>
      <c r="K28" s="13" t="s">
        <v>27</v>
      </c>
      <c r="L28" s="15">
        <f t="shared" si="1"/>
        <v>0</v>
      </c>
      <c r="M28" s="13" t="s">
        <v>35</v>
      </c>
      <c r="N28" s="14">
        <f t="shared" si="2"/>
        <v>240</v>
      </c>
    </row>
    <row r="29" spans="1:14" ht="12.75" x14ac:dyDescent="0.2">
      <c r="A29" s="13" t="s">
        <v>93</v>
      </c>
      <c r="B29" s="17">
        <v>45245</v>
      </c>
      <c r="C29" s="2" t="s">
        <v>79</v>
      </c>
      <c r="D29" s="2" t="s">
        <v>94</v>
      </c>
      <c r="E29" s="19">
        <v>11987654348</v>
      </c>
      <c r="F29" s="2" t="s">
        <v>21</v>
      </c>
      <c r="G29" s="13">
        <v>1</v>
      </c>
      <c r="H29" s="14">
        <v>4500</v>
      </c>
      <c r="I29" s="14">
        <f t="shared" si="0"/>
        <v>4500</v>
      </c>
      <c r="J29" s="13" t="s">
        <v>11</v>
      </c>
      <c r="K29" s="13" t="s">
        <v>30</v>
      </c>
      <c r="L29" s="15">
        <f t="shared" si="1"/>
        <v>0.1</v>
      </c>
      <c r="M29" s="13" t="s">
        <v>35</v>
      </c>
      <c r="N29" s="14">
        <f t="shared" si="2"/>
        <v>4050</v>
      </c>
    </row>
    <row r="30" spans="1:14" ht="12.75" x14ac:dyDescent="0.2">
      <c r="A30" s="13" t="s">
        <v>95</v>
      </c>
      <c r="B30" s="17">
        <v>45247</v>
      </c>
      <c r="C30" s="2" t="s">
        <v>79</v>
      </c>
      <c r="D30" s="2" t="s">
        <v>96</v>
      </c>
      <c r="E30" s="19">
        <v>11987654349</v>
      </c>
      <c r="F30" s="2" t="s">
        <v>6</v>
      </c>
      <c r="G30" s="13">
        <v>1</v>
      </c>
      <c r="H30" s="14">
        <v>150</v>
      </c>
      <c r="I30" s="14">
        <f t="shared" si="0"/>
        <v>150</v>
      </c>
      <c r="J30" s="13" t="s">
        <v>20</v>
      </c>
      <c r="K30" s="13" t="s">
        <v>27</v>
      </c>
      <c r="L30" s="15">
        <f t="shared" si="1"/>
        <v>0</v>
      </c>
      <c r="M30" s="13" t="s">
        <v>31</v>
      </c>
      <c r="N30" s="14">
        <f t="shared" si="2"/>
        <v>150</v>
      </c>
    </row>
    <row r="31" spans="1:14" ht="12.75" x14ac:dyDescent="0.2">
      <c r="A31" s="13" t="s">
        <v>97</v>
      </c>
      <c r="B31" s="17">
        <v>45249</v>
      </c>
      <c r="C31" s="2" t="s">
        <v>79</v>
      </c>
      <c r="D31" s="2" t="s">
        <v>98</v>
      </c>
      <c r="E31" s="19">
        <v>11987654350</v>
      </c>
      <c r="F31" s="2" t="s">
        <v>13</v>
      </c>
      <c r="G31" s="13">
        <v>2</v>
      </c>
      <c r="H31" s="14">
        <v>800</v>
      </c>
      <c r="I31" s="14">
        <f t="shared" si="0"/>
        <v>1600</v>
      </c>
      <c r="J31" s="13" t="s">
        <v>11</v>
      </c>
      <c r="K31" s="13" t="s">
        <v>30</v>
      </c>
      <c r="L31" s="15">
        <f t="shared" si="1"/>
        <v>0.1</v>
      </c>
      <c r="M31" s="13" t="s">
        <v>35</v>
      </c>
      <c r="N31" s="14">
        <f t="shared" si="2"/>
        <v>1440</v>
      </c>
    </row>
    <row r="32" spans="1:14" ht="12.75" x14ac:dyDescent="0.2">
      <c r="A32" s="13" t="s">
        <v>99</v>
      </c>
      <c r="B32" s="17">
        <v>45251</v>
      </c>
      <c r="C32" s="2" t="s">
        <v>79</v>
      </c>
      <c r="D32" s="2" t="s">
        <v>100</v>
      </c>
      <c r="E32" s="19">
        <v>11987654351</v>
      </c>
      <c r="F32" s="2" t="s">
        <v>23</v>
      </c>
      <c r="G32" s="13">
        <v>1</v>
      </c>
      <c r="H32" s="14">
        <v>2500</v>
      </c>
      <c r="I32" s="14">
        <f t="shared" si="0"/>
        <v>2500</v>
      </c>
      <c r="J32" s="13" t="s">
        <v>20</v>
      </c>
      <c r="K32" s="13" t="s">
        <v>27</v>
      </c>
      <c r="L32" s="15">
        <f t="shared" si="1"/>
        <v>0</v>
      </c>
      <c r="M32" s="13" t="s">
        <v>35</v>
      </c>
      <c r="N32" s="14">
        <f t="shared" si="2"/>
        <v>2500</v>
      </c>
    </row>
    <row r="33" spans="1:14" ht="12.75" x14ac:dyDescent="0.2">
      <c r="A33" s="13" t="s">
        <v>101</v>
      </c>
      <c r="B33" s="17">
        <v>45253</v>
      </c>
      <c r="C33" s="2" t="s">
        <v>79</v>
      </c>
      <c r="D33" s="2" t="s">
        <v>102</v>
      </c>
      <c r="E33" s="19">
        <v>11987654352</v>
      </c>
      <c r="F33" s="2" t="s">
        <v>21</v>
      </c>
      <c r="G33" s="13">
        <v>1</v>
      </c>
      <c r="H33" s="14">
        <v>4500</v>
      </c>
      <c r="I33" s="14">
        <f t="shared" si="0"/>
        <v>4500</v>
      </c>
      <c r="J33" s="13" t="s">
        <v>11</v>
      </c>
      <c r="K33" s="13" t="s">
        <v>30</v>
      </c>
      <c r="L33" s="15">
        <f t="shared" si="1"/>
        <v>0.1</v>
      </c>
      <c r="M33" s="13" t="s">
        <v>31</v>
      </c>
      <c r="N33" s="14">
        <f t="shared" si="2"/>
        <v>4050</v>
      </c>
    </row>
    <row r="34" spans="1:14" ht="12.75" x14ac:dyDescent="0.2">
      <c r="A34" s="13" t="s">
        <v>103</v>
      </c>
      <c r="B34" s="17">
        <v>45255</v>
      </c>
      <c r="C34" s="2" t="s">
        <v>79</v>
      </c>
      <c r="D34" s="2" t="s">
        <v>104</v>
      </c>
      <c r="E34" s="19">
        <v>11987654353</v>
      </c>
      <c r="F34" s="2" t="s">
        <v>6</v>
      </c>
      <c r="G34" s="13">
        <v>2</v>
      </c>
      <c r="H34" s="14">
        <v>150</v>
      </c>
      <c r="I34" s="14">
        <f t="shared" si="0"/>
        <v>300</v>
      </c>
      <c r="J34" s="13" t="s">
        <v>20</v>
      </c>
      <c r="K34" s="13" t="s">
        <v>27</v>
      </c>
      <c r="L34" s="15">
        <f t="shared" si="1"/>
        <v>0</v>
      </c>
      <c r="M34" s="13" t="s">
        <v>35</v>
      </c>
      <c r="N34" s="14">
        <f t="shared" si="2"/>
        <v>300</v>
      </c>
    </row>
    <row r="35" spans="1:14" ht="12.75" x14ac:dyDescent="0.2">
      <c r="A35" s="13" t="s">
        <v>105</v>
      </c>
      <c r="B35" s="17">
        <v>45257</v>
      </c>
      <c r="C35" s="2" t="s">
        <v>79</v>
      </c>
      <c r="D35" s="2" t="s">
        <v>106</v>
      </c>
      <c r="E35" s="19">
        <v>11987654354</v>
      </c>
      <c r="F35" s="2" t="s">
        <v>13</v>
      </c>
      <c r="G35" s="13">
        <v>1</v>
      </c>
      <c r="H35" s="14">
        <v>800</v>
      </c>
      <c r="I35" s="14">
        <f t="shared" si="0"/>
        <v>800</v>
      </c>
      <c r="J35" s="13" t="s">
        <v>11</v>
      </c>
      <c r="K35" s="13" t="s">
        <v>30</v>
      </c>
      <c r="L35" s="15">
        <f t="shared" si="1"/>
        <v>0.1</v>
      </c>
      <c r="M35" s="13" t="s">
        <v>35</v>
      </c>
      <c r="N35" s="14">
        <f t="shared" si="2"/>
        <v>720</v>
      </c>
    </row>
    <row r="36" spans="1:14" ht="12.75" x14ac:dyDescent="0.2">
      <c r="A36" s="13" t="s">
        <v>107</v>
      </c>
      <c r="B36" s="17">
        <v>45259</v>
      </c>
      <c r="C36" s="2" t="s">
        <v>79</v>
      </c>
      <c r="D36" s="2" t="s">
        <v>108</v>
      </c>
      <c r="E36" s="19">
        <v>11987654355</v>
      </c>
      <c r="F36" s="2" t="s">
        <v>23</v>
      </c>
      <c r="G36" s="13">
        <v>2</v>
      </c>
      <c r="H36" s="14">
        <v>2500</v>
      </c>
      <c r="I36" s="14">
        <f t="shared" si="0"/>
        <v>5000</v>
      </c>
      <c r="J36" s="13" t="s">
        <v>11</v>
      </c>
      <c r="K36" s="13" t="s">
        <v>30</v>
      </c>
      <c r="L36" s="15">
        <f t="shared" si="1"/>
        <v>0.1</v>
      </c>
      <c r="M36" s="13" t="s">
        <v>31</v>
      </c>
      <c r="N36" s="14">
        <f t="shared" si="2"/>
        <v>4500</v>
      </c>
    </row>
    <row r="37" spans="1:14" ht="12.75" x14ac:dyDescent="0.2">
      <c r="A37" s="13" t="s">
        <v>109</v>
      </c>
      <c r="B37" s="17">
        <v>45261</v>
      </c>
      <c r="C37" s="2" t="s">
        <v>110</v>
      </c>
      <c r="D37" s="2" t="s">
        <v>111</v>
      </c>
      <c r="E37" s="19">
        <v>11987654356</v>
      </c>
      <c r="F37" s="2" t="s">
        <v>24</v>
      </c>
      <c r="G37" s="13">
        <v>1</v>
      </c>
      <c r="H37" s="14">
        <v>200</v>
      </c>
      <c r="I37" s="14">
        <f t="shared" si="0"/>
        <v>200</v>
      </c>
      <c r="J37" s="13" t="s">
        <v>15</v>
      </c>
      <c r="K37" s="13" t="s">
        <v>27</v>
      </c>
      <c r="L37" s="15">
        <f t="shared" si="1"/>
        <v>0</v>
      </c>
      <c r="M37" s="13" t="s">
        <v>31</v>
      </c>
      <c r="N37" s="14">
        <f t="shared" si="2"/>
        <v>200</v>
      </c>
    </row>
    <row r="38" spans="1:14" ht="12.75" x14ac:dyDescent="0.2">
      <c r="A38" s="13" t="s">
        <v>112</v>
      </c>
      <c r="B38" s="17">
        <v>45263</v>
      </c>
      <c r="C38" s="2" t="s">
        <v>110</v>
      </c>
      <c r="D38" s="2" t="s">
        <v>113</v>
      </c>
      <c r="E38" s="19">
        <v>11987654357</v>
      </c>
      <c r="F38" s="2" t="s">
        <v>18</v>
      </c>
      <c r="G38" s="13">
        <v>3</v>
      </c>
      <c r="H38" s="14">
        <v>80</v>
      </c>
      <c r="I38" s="14">
        <f t="shared" si="0"/>
        <v>240</v>
      </c>
      <c r="J38" s="13" t="s">
        <v>20</v>
      </c>
      <c r="K38" s="13" t="s">
        <v>27</v>
      </c>
      <c r="L38" s="15">
        <f t="shared" si="1"/>
        <v>0</v>
      </c>
      <c r="M38" s="13" t="s">
        <v>35</v>
      </c>
      <c r="N38" s="14">
        <f t="shared" si="2"/>
        <v>240</v>
      </c>
    </row>
    <row r="39" spans="1:14" ht="12.75" x14ac:dyDescent="0.2">
      <c r="A39" s="13" t="s">
        <v>114</v>
      </c>
      <c r="B39" s="17">
        <v>45265</v>
      </c>
      <c r="C39" s="2" t="s">
        <v>110</v>
      </c>
      <c r="D39" s="2" t="s">
        <v>115</v>
      </c>
      <c r="E39" s="19">
        <v>11987654358</v>
      </c>
      <c r="F39" s="2" t="s">
        <v>21</v>
      </c>
      <c r="G39" s="13">
        <v>1</v>
      </c>
      <c r="H39" s="14">
        <v>4500</v>
      </c>
      <c r="I39" s="14">
        <f t="shared" si="0"/>
        <v>4500</v>
      </c>
      <c r="J39" s="13" t="s">
        <v>11</v>
      </c>
      <c r="K39" s="13" t="s">
        <v>30</v>
      </c>
      <c r="L39" s="15">
        <f t="shared" si="1"/>
        <v>0.1</v>
      </c>
      <c r="M39" s="13" t="s">
        <v>35</v>
      </c>
      <c r="N39" s="14">
        <f t="shared" si="2"/>
        <v>4050</v>
      </c>
    </row>
    <row r="40" spans="1:14" ht="12.75" x14ac:dyDescent="0.2">
      <c r="A40" s="13" t="s">
        <v>116</v>
      </c>
      <c r="B40" s="17">
        <v>45267</v>
      </c>
      <c r="C40" s="2" t="s">
        <v>110</v>
      </c>
      <c r="D40" s="2" t="s">
        <v>117</v>
      </c>
      <c r="E40" s="19">
        <v>11987654359</v>
      </c>
      <c r="F40" s="2" t="s">
        <v>6</v>
      </c>
      <c r="G40" s="13">
        <v>1</v>
      </c>
      <c r="H40" s="14">
        <v>150</v>
      </c>
      <c r="I40" s="14">
        <f t="shared" si="0"/>
        <v>150</v>
      </c>
      <c r="J40" s="13" t="s">
        <v>20</v>
      </c>
      <c r="K40" s="13" t="s">
        <v>27</v>
      </c>
      <c r="L40" s="15">
        <f t="shared" si="1"/>
        <v>0</v>
      </c>
      <c r="M40" s="13" t="s">
        <v>31</v>
      </c>
      <c r="N40" s="14">
        <f t="shared" si="2"/>
        <v>150</v>
      </c>
    </row>
    <row r="41" spans="1:14" ht="12.75" x14ac:dyDescent="0.2">
      <c r="A41" s="13" t="s">
        <v>118</v>
      </c>
      <c r="B41" s="17">
        <v>45269</v>
      </c>
      <c r="C41" s="2" t="s">
        <v>110</v>
      </c>
      <c r="D41" s="2" t="s">
        <v>119</v>
      </c>
      <c r="E41" s="19">
        <v>11987654360</v>
      </c>
      <c r="F41" s="2" t="s">
        <v>13</v>
      </c>
      <c r="G41" s="13">
        <v>2</v>
      </c>
      <c r="H41" s="14">
        <v>800</v>
      </c>
      <c r="I41" s="14">
        <f t="shared" si="0"/>
        <v>1600</v>
      </c>
      <c r="J41" s="13" t="s">
        <v>11</v>
      </c>
      <c r="K41" s="13" t="s">
        <v>30</v>
      </c>
      <c r="L41" s="15">
        <f t="shared" si="1"/>
        <v>0.1</v>
      </c>
      <c r="M41" s="13" t="s">
        <v>35</v>
      </c>
      <c r="N41" s="14">
        <f t="shared" si="2"/>
        <v>1440</v>
      </c>
    </row>
    <row r="42" spans="1:14" ht="12.75" x14ac:dyDescent="0.2">
      <c r="A42" s="13" t="s">
        <v>120</v>
      </c>
      <c r="B42" s="17">
        <v>45271</v>
      </c>
      <c r="C42" s="2" t="s">
        <v>110</v>
      </c>
      <c r="D42" s="2" t="s">
        <v>121</v>
      </c>
      <c r="E42" s="19">
        <v>11987654361</v>
      </c>
      <c r="F42" s="2" t="s">
        <v>23</v>
      </c>
      <c r="G42" s="13">
        <v>1</v>
      </c>
      <c r="H42" s="14">
        <v>2500</v>
      </c>
      <c r="I42" s="14">
        <f t="shared" si="0"/>
        <v>2500</v>
      </c>
      <c r="J42" s="13" t="s">
        <v>20</v>
      </c>
      <c r="K42" s="13" t="s">
        <v>27</v>
      </c>
      <c r="L42" s="15">
        <f t="shared" si="1"/>
        <v>0</v>
      </c>
      <c r="M42" s="13" t="s">
        <v>35</v>
      </c>
      <c r="N42" s="14">
        <f t="shared" si="2"/>
        <v>2500</v>
      </c>
    </row>
    <row r="43" spans="1:14" ht="12.75" x14ac:dyDescent="0.2">
      <c r="A43" s="13" t="s">
        <v>122</v>
      </c>
      <c r="B43" s="17">
        <v>45273</v>
      </c>
      <c r="C43" s="2" t="s">
        <v>110</v>
      </c>
      <c r="D43" s="2" t="s">
        <v>123</v>
      </c>
      <c r="E43" s="19">
        <v>11987654362</v>
      </c>
      <c r="F43" s="2" t="s">
        <v>21</v>
      </c>
      <c r="G43" s="13">
        <v>1</v>
      </c>
      <c r="H43" s="14">
        <v>4500</v>
      </c>
      <c r="I43" s="14">
        <f t="shared" si="0"/>
        <v>4500</v>
      </c>
      <c r="J43" s="13" t="s">
        <v>11</v>
      </c>
      <c r="K43" s="13" t="s">
        <v>30</v>
      </c>
      <c r="L43" s="15">
        <f t="shared" si="1"/>
        <v>0.1</v>
      </c>
      <c r="M43" s="13" t="s">
        <v>31</v>
      </c>
      <c r="N43" s="14">
        <f t="shared" si="2"/>
        <v>4050</v>
      </c>
    </row>
    <row r="44" spans="1:14" ht="12.75" x14ac:dyDescent="0.2">
      <c r="A44" s="13" t="s">
        <v>124</v>
      </c>
      <c r="B44" s="17">
        <v>45275</v>
      </c>
      <c r="C44" s="2" t="s">
        <v>110</v>
      </c>
      <c r="D44" s="2" t="s">
        <v>125</v>
      </c>
      <c r="E44" s="19">
        <v>11987654363</v>
      </c>
      <c r="F44" s="2" t="s">
        <v>6</v>
      </c>
      <c r="G44" s="13">
        <v>2</v>
      </c>
      <c r="H44" s="14">
        <v>150</v>
      </c>
      <c r="I44" s="14">
        <f t="shared" si="0"/>
        <v>300</v>
      </c>
      <c r="J44" s="13" t="s">
        <v>20</v>
      </c>
      <c r="K44" s="13" t="s">
        <v>27</v>
      </c>
      <c r="L44" s="15">
        <f t="shared" si="1"/>
        <v>0</v>
      </c>
      <c r="M44" s="13" t="s">
        <v>35</v>
      </c>
      <c r="N44" s="14">
        <f t="shared" si="2"/>
        <v>300</v>
      </c>
    </row>
    <row r="45" spans="1:14" ht="12.75" x14ac:dyDescent="0.2">
      <c r="A45" s="13" t="s">
        <v>126</v>
      </c>
      <c r="B45" s="17">
        <v>45277</v>
      </c>
      <c r="C45" s="2" t="s">
        <v>110</v>
      </c>
      <c r="D45" s="2" t="s">
        <v>127</v>
      </c>
      <c r="E45" s="19">
        <v>11987654364</v>
      </c>
      <c r="F45" s="2" t="s">
        <v>13</v>
      </c>
      <c r="G45" s="13">
        <v>1</v>
      </c>
      <c r="H45" s="14">
        <v>800</v>
      </c>
      <c r="I45" s="14">
        <f t="shared" si="0"/>
        <v>800</v>
      </c>
      <c r="J45" s="13" t="s">
        <v>11</v>
      </c>
      <c r="K45" s="13" t="s">
        <v>30</v>
      </c>
      <c r="L45" s="15">
        <f t="shared" si="1"/>
        <v>0.1</v>
      </c>
      <c r="M45" s="13" t="s">
        <v>35</v>
      </c>
      <c r="N45" s="14">
        <f t="shared" si="2"/>
        <v>720</v>
      </c>
    </row>
    <row r="46" spans="1:14" ht="12.75" x14ac:dyDescent="0.2">
      <c r="A46" s="13" t="s">
        <v>128</v>
      </c>
      <c r="B46" s="17">
        <v>45279</v>
      </c>
      <c r="C46" s="2" t="s">
        <v>110</v>
      </c>
      <c r="D46" s="2" t="s">
        <v>129</v>
      </c>
      <c r="E46" s="19">
        <v>11987654365</v>
      </c>
      <c r="F46" s="2" t="s">
        <v>23</v>
      </c>
      <c r="G46" s="13">
        <v>2</v>
      </c>
      <c r="H46" s="14">
        <v>2500</v>
      </c>
      <c r="I46" s="14">
        <f t="shared" si="0"/>
        <v>5000</v>
      </c>
      <c r="J46" s="13" t="s">
        <v>11</v>
      </c>
      <c r="K46" s="13" t="s">
        <v>30</v>
      </c>
      <c r="L46" s="15">
        <f t="shared" si="1"/>
        <v>0.1</v>
      </c>
      <c r="M46" s="13" t="s">
        <v>31</v>
      </c>
      <c r="N46" s="14">
        <f t="shared" si="2"/>
        <v>4500</v>
      </c>
    </row>
    <row r="47" spans="1:14" ht="12.75" x14ac:dyDescent="0.2">
      <c r="A47" s="13" t="s">
        <v>130</v>
      </c>
      <c r="B47" s="17">
        <v>45281</v>
      </c>
      <c r="C47" s="2" t="s">
        <v>110</v>
      </c>
      <c r="D47" s="2" t="s">
        <v>131</v>
      </c>
      <c r="E47" s="19">
        <v>11987654366</v>
      </c>
      <c r="F47" s="2" t="s">
        <v>24</v>
      </c>
      <c r="G47" s="13">
        <v>1</v>
      </c>
      <c r="H47" s="14">
        <v>200</v>
      </c>
      <c r="I47" s="14">
        <f t="shared" si="0"/>
        <v>200</v>
      </c>
      <c r="J47" s="13" t="s">
        <v>15</v>
      </c>
      <c r="K47" s="13" t="s">
        <v>27</v>
      </c>
      <c r="L47" s="15">
        <f t="shared" si="1"/>
        <v>0</v>
      </c>
      <c r="M47" s="13" t="s">
        <v>31</v>
      </c>
      <c r="N47" s="14">
        <f t="shared" si="2"/>
        <v>200</v>
      </c>
    </row>
    <row r="48" spans="1:14" ht="12.75" x14ac:dyDescent="0.2">
      <c r="A48" s="13" t="s">
        <v>132</v>
      </c>
      <c r="B48" s="17">
        <v>45283</v>
      </c>
      <c r="C48" s="2" t="s">
        <v>110</v>
      </c>
      <c r="D48" s="2" t="s">
        <v>133</v>
      </c>
      <c r="E48" s="19">
        <v>11987654367</v>
      </c>
      <c r="F48" s="2" t="s">
        <v>18</v>
      </c>
      <c r="G48" s="13">
        <v>3</v>
      </c>
      <c r="H48" s="14">
        <v>80</v>
      </c>
      <c r="I48" s="14">
        <f t="shared" si="0"/>
        <v>240</v>
      </c>
      <c r="J48" s="13" t="s">
        <v>20</v>
      </c>
      <c r="K48" s="13" t="s">
        <v>27</v>
      </c>
      <c r="L48" s="15">
        <f t="shared" si="1"/>
        <v>0</v>
      </c>
      <c r="M48" s="13" t="s">
        <v>35</v>
      </c>
      <c r="N48" s="14">
        <f t="shared" si="2"/>
        <v>240</v>
      </c>
    </row>
    <row r="49" spans="1:14" ht="12.75" x14ac:dyDescent="0.2">
      <c r="A49" s="13" t="s">
        <v>134</v>
      </c>
      <c r="B49" s="17">
        <v>45285</v>
      </c>
      <c r="C49" s="2" t="s">
        <v>110</v>
      </c>
      <c r="D49" s="2" t="s">
        <v>135</v>
      </c>
      <c r="E49" s="19">
        <v>11987654368</v>
      </c>
      <c r="F49" s="2" t="s">
        <v>21</v>
      </c>
      <c r="G49" s="13">
        <v>1</v>
      </c>
      <c r="H49" s="14">
        <v>4500</v>
      </c>
      <c r="I49" s="14">
        <f t="shared" si="0"/>
        <v>4500</v>
      </c>
      <c r="J49" s="13" t="s">
        <v>11</v>
      </c>
      <c r="K49" s="13" t="s">
        <v>30</v>
      </c>
      <c r="L49" s="15">
        <f t="shared" si="1"/>
        <v>0.1</v>
      </c>
      <c r="M49" s="13" t="s">
        <v>35</v>
      </c>
      <c r="N49" s="14">
        <f t="shared" si="2"/>
        <v>4050</v>
      </c>
    </row>
    <row r="50" spans="1:14" ht="12.75" x14ac:dyDescent="0.2">
      <c r="A50" s="13" t="s">
        <v>136</v>
      </c>
      <c r="B50" s="17">
        <v>45287</v>
      </c>
      <c r="C50" s="2" t="s">
        <v>110</v>
      </c>
      <c r="D50" s="2" t="s">
        <v>137</v>
      </c>
      <c r="E50" s="19">
        <v>11987654369</v>
      </c>
      <c r="F50" s="2" t="s">
        <v>6</v>
      </c>
      <c r="G50" s="13">
        <v>1</v>
      </c>
      <c r="H50" s="14">
        <v>150</v>
      </c>
      <c r="I50" s="14">
        <f t="shared" si="0"/>
        <v>150</v>
      </c>
      <c r="J50" s="13" t="s">
        <v>20</v>
      </c>
      <c r="K50" s="13" t="s">
        <v>27</v>
      </c>
      <c r="L50" s="15">
        <f t="shared" si="1"/>
        <v>0</v>
      </c>
      <c r="M50" s="13" t="s">
        <v>31</v>
      </c>
      <c r="N50" s="14">
        <f t="shared" si="2"/>
        <v>150</v>
      </c>
    </row>
    <row r="51" spans="1:14" ht="12.75" x14ac:dyDescent="0.2">
      <c r="A51" s="13" t="s">
        <v>138</v>
      </c>
      <c r="B51" s="17">
        <v>45289</v>
      </c>
      <c r="C51" s="2" t="s">
        <v>110</v>
      </c>
      <c r="D51" s="2" t="s">
        <v>139</v>
      </c>
      <c r="E51" s="19">
        <v>11987654370</v>
      </c>
      <c r="F51" s="2" t="s">
        <v>13</v>
      </c>
      <c r="G51" s="13">
        <v>2</v>
      </c>
      <c r="H51" s="14">
        <v>800</v>
      </c>
      <c r="I51" s="14">
        <f t="shared" si="0"/>
        <v>1600</v>
      </c>
      <c r="J51" s="13" t="s">
        <v>11</v>
      </c>
      <c r="K51" s="13" t="s">
        <v>30</v>
      </c>
      <c r="L51" s="15">
        <f t="shared" si="1"/>
        <v>0.1</v>
      </c>
      <c r="M51" s="13" t="s">
        <v>35</v>
      </c>
      <c r="N51" s="14">
        <f t="shared" si="2"/>
        <v>1440</v>
      </c>
    </row>
    <row r="52" spans="1:14" ht="12.75" x14ac:dyDescent="0.2">
      <c r="A52" s="13" t="s">
        <v>140</v>
      </c>
      <c r="B52" s="17">
        <v>45292</v>
      </c>
      <c r="C52" s="2" t="s">
        <v>25</v>
      </c>
      <c r="D52" s="2" t="s">
        <v>141</v>
      </c>
      <c r="E52" s="19">
        <v>11987654371</v>
      </c>
      <c r="F52" s="2" t="s">
        <v>23</v>
      </c>
      <c r="G52" s="13">
        <v>1</v>
      </c>
      <c r="H52" s="14">
        <v>2500</v>
      </c>
      <c r="I52" s="14">
        <f t="shared" si="0"/>
        <v>2500</v>
      </c>
      <c r="J52" s="13" t="s">
        <v>20</v>
      </c>
      <c r="K52" s="13" t="s">
        <v>27</v>
      </c>
      <c r="L52" s="15">
        <f t="shared" si="1"/>
        <v>0</v>
      </c>
      <c r="M52" s="13" t="s">
        <v>35</v>
      </c>
      <c r="N52" s="14">
        <f t="shared" si="2"/>
        <v>2500</v>
      </c>
    </row>
    <row r="53" spans="1:14" ht="12.75" x14ac:dyDescent="0.2">
      <c r="A53" s="13" t="s">
        <v>142</v>
      </c>
      <c r="B53" s="17">
        <v>45294</v>
      </c>
      <c r="C53" s="2" t="s">
        <v>25</v>
      </c>
      <c r="D53" s="2" t="s">
        <v>143</v>
      </c>
      <c r="E53" s="19">
        <v>11987654372</v>
      </c>
      <c r="F53" s="2" t="s">
        <v>21</v>
      </c>
      <c r="G53" s="13">
        <v>1</v>
      </c>
      <c r="H53" s="14">
        <v>4500</v>
      </c>
      <c r="I53" s="14">
        <f t="shared" si="0"/>
        <v>4500</v>
      </c>
      <c r="J53" s="13" t="s">
        <v>11</v>
      </c>
      <c r="K53" s="13" t="s">
        <v>30</v>
      </c>
      <c r="L53" s="15">
        <f t="shared" si="1"/>
        <v>0.1</v>
      </c>
      <c r="M53" s="13" t="s">
        <v>31</v>
      </c>
      <c r="N53" s="14">
        <f t="shared" si="2"/>
        <v>4050</v>
      </c>
    </row>
    <row r="54" spans="1:14" ht="12.75" x14ac:dyDescent="0.2">
      <c r="A54" s="13" t="s">
        <v>144</v>
      </c>
      <c r="B54" s="17">
        <v>45296</v>
      </c>
      <c r="C54" s="2" t="s">
        <v>25</v>
      </c>
      <c r="D54" s="2" t="s">
        <v>145</v>
      </c>
      <c r="E54" s="19">
        <v>11987654373</v>
      </c>
      <c r="F54" s="2" t="s">
        <v>6</v>
      </c>
      <c r="G54" s="13">
        <v>2</v>
      </c>
      <c r="H54" s="14">
        <v>150</v>
      </c>
      <c r="I54" s="14">
        <f t="shared" si="0"/>
        <v>300</v>
      </c>
      <c r="J54" s="13" t="s">
        <v>20</v>
      </c>
      <c r="K54" s="13" t="s">
        <v>27</v>
      </c>
      <c r="L54" s="15">
        <f t="shared" si="1"/>
        <v>0</v>
      </c>
      <c r="M54" s="13" t="s">
        <v>35</v>
      </c>
      <c r="N54" s="14">
        <f t="shared" si="2"/>
        <v>300</v>
      </c>
    </row>
    <row r="55" spans="1:14" ht="12.75" x14ac:dyDescent="0.2">
      <c r="A55" s="13" t="s">
        <v>146</v>
      </c>
      <c r="B55" s="17">
        <v>45298</v>
      </c>
      <c r="C55" s="2" t="s">
        <v>25</v>
      </c>
      <c r="D55" s="2" t="s">
        <v>147</v>
      </c>
      <c r="E55" s="19">
        <v>11987654374</v>
      </c>
      <c r="F55" s="2" t="s">
        <v>13</v>
      </c>
      <c r="G55" s="13">
        <v>1</v>
      </c>
      <c r="H55" s="14">
        <v>800</v>
      </c>
      <c r="I55" s="14">
        <f t="shared" si="0"/>
        <v>800</v>
      </c>
      <c r="J55" s="13" t="s">
        <v>11</v>
      </c>
      <c r="K55" s="13" t="s">
        <v>30</v>
      </c>
      <c r="L55" s="15">
        <f t="shared" si="1"/>
        <v>0.1</v>
      </c>
      <c r="M55" s="13" t="s">
        <v>35</v>
      </c>
      <c r="N55" s="14">
        <f t="shared" si="2"/>
        <v>720</v>
      </c>
    </row>
    <row r="56" spans="1:14" ht="12.75" x14ac:dyDescent="0.2">
      <c r="A56" s="13" t="s">
        <v>148</v>
      </c>
      <c r="B56" s="17">
        <v>45300</v>
      </c>
      <c r="C56" s="2" t="s">
        <v>25</v>
      </c>
      <c r="D56" s="2" t="s">
        <v>149</v>
      </c>
      <c r="E56" s="19">
        <v>11987654375</v>
      </c>
      <c r="F56" s="2" t="s">
        <v>23</v>
      </c>
      <c r="G56" s="13">
        <v>2</v>
      </c>
      <c r="H56" s="14">
        <v>2500</v>
      </c>
      <c r="I56" s="14">
        <f t="shared" si="0"/>
        <v>5000</v>
      </c>
      <c r="J56" s="13" t="s">
        <v>11</v>
      </c>
      <c r="K56" s="13" t="s">
        <v>30</v>
      </c>
      <c r="L56" s="15">
        <f t="shared" si="1"/>
        <v>0.1</v>
      </c>
      <c r="M56" s="13" t="s">
        <v>31</v>
      </c>
      <c r="N56" s="14">
        <f t="shared" si="2"/>
        <v>4500</v>
      </c>
    </row>
    <row r="57" spans="1:14" ht="12.75" x14ac:dyDescent="0.2">
      <c r="A57" s="13" t="s">
        <v>150</v>
      </c>
      <c r="B57" s="17">
        <v>45302</v>
      </c>
      <c r="C57" s="2" t="s">
        <v>25</v>
      </c>
      <c r="D57" s="2" t="s">
        <v>151</v>
      </c>
      <c r="E57" s="19">
        <v>11987654376</v>
      </c>
      <c r="F57" s="2" t="s">
        <v>24</v>
      </c>
      <c r="G57" s="13">
        <v>1</v>
      </c>
      <c r="H57" s="14">
        <v>200</v>
      </c>
      <c r="I57" s="14">
        <f t="shared" si="0"/>
        <v>200</v>
      </c>
      <c r="J57" s="13" t="s">
        <v>15</v>
      </c>
      <c r="K57" s="13" t="s">
        <v>27</v>
      </c>
      <c r="L57" s="15">
        <f t="shared" si="1"/>
        <v>0</v>
      </c>
      <c r="M57" s="13" t="s">
        <v>31</v>
      </c>
      <c r="N57" s="14">
        <f t="shared" si="2"/>
        <v>200</v>
      </c>
    </row>
    <row r="58" spans="1:14" ht="12.75" x14ac:dyDescent="0.2">
      <c r="A58" s="13" t="s">
        <v>152</v>
      </c>
      <c r="B58" s="17">
        <v>45304</v>
      </c>
      <c r="C58" s="2" t="s">
        <v>25</v>
      </c>
      <c r="D58" s="2" t="s">
        <v>153</v>
      </c>
      <c r="E58" s="19">
        <v>11987654377</v>
      </c>
      <c r="F58" s="2" t="s">
        <v>18</v>
      </c>
      <c r="G58" s="13">
        <v>3</v>
      </c>
      <c r="H58" s="14">
        <v>80</v>
      </c>
      <c r="I58" s="14">
        <f t="shared" si="0"/>
        <v>240</v>
      </c>
      <c r="J58" s="13" t="s">
        <v>20</v>
      </c>
      <c r="K58" s="13" t="s">
        <v>27</v>
      </c>
      <c r="L58" s="15">
        <f t="shared" si="1"/>
        <v>0</v>
      </c>
      <c r="M58" s="13" t="s">
        <v>35</v>
      </c>
      <c r="N58" s="14">
        <f t="shared" si="2"/>
        <v>240</v>
      </c>
    </row>
    <row r="59" spans="1:14" ht="12.75" x14ac:dyDescent="0.2">
      <c r="A59" s="13" t="s">
        <v>154</v>
      </c>
      <c r="B59" s="17">
        <v>45306</v>
      </c>
      <c r="C59" s="2" t="s">
        <v>25</v>
      </c>
      <c r="D59" s="2" t="s">
        <v>155</v>
      </c>
      <c r="E59" s="19">
        <v>11987654378</v>
      </c>
      <c r="F59" s="2" t="s">
        <v>21</v>
      </c>
      <c r="G59" s="13">
        <v>1</v>
      </c>
      <c r="H59" s="14">
        <v>4500</v>
      </c>
      <c r="I59" s="14">
        <f t="shared" si="0"/>
        <v>4500</v>
      </c>
      <c r="J59" s="13" t="s">
        <v>11</v>
      </c>
      <c r="K59" s="13" t="s">
        <v>30</v>
      </c>
      <c r="L59" s="15">
        <f t="shared" si="1"/>
        <v>0.1</v>
      </c>
      <c r="M59" s="13" t="s">
        <v>35</v>
      </c>
      <c r="N59" s="14">
        <f t="shared" si="2"/>
        <v>4050</v>
      </c>
    </row>
    <row r="60" spans="1:14" ht="12.75" x14ac:dyDescent="0.2">
      <c r="A60" s="13" t="s">
        <v>156</v>
      </c>
      <c r="B60" s="17">
        <v>45308</v>
      </c>
      <c r="C60" s="2" t="s">
        <v>25</v>
      </c>
      <c r="D60" s="2" t="s">
        <v>157</v>
      </c>
      <c r="E60" s="19">
        <v>11987654379</v>
      </c>
      <c r="F60" s="2" t="s">
        <v>6</v>
      </c>
      <c r="G60" s="13">
        <v>1</v>
      </c>
      <c r="H60" s="14">
        <v>150</v>
      </c>
      <c r="I60" s="14">
        <f t="shared" si="0"/>
        <v>150</v>
      </c>
      <c r="J60" s="13" t="s">
        <v>20</v>
      </c>
      <c r="K60" s="13" t="s">
        <v>27</v>
      </c>
      <c r="L60" s="15">
        <f t="shared" si="1"/>
        <v>0</v>
      </c>
      <c r="M60" s="13" t="s">
        <v>31</v>
      </c>
      <c r="N60" s="14">
        <f t="shared" si="2"/>
        <v>150</v>
      </c>
    </row>
    <row r="61" spans="1:14" ht="12.75" x14ac:dyDescent="0.2">
      <c r="A61" s="13" t="s">
        <v>158</v>
      </c>
      <c r="B61" s="17">
        <v>45310</v>
      </c>
      <c r="C61" s="2" t="s">
        <v>25</v>
      </c>
      <c r="D61" s="2" t="s">
        <v>159</v>
      </c>
      <c r="E61" s="19">
        <v>11987654380</v>
      </c>
      <c r="F61" s="2" t="s">
        <v>13</v>
      </c>
      <c r="G61" s="13">
        <v>2</v>
      </c>
      <c r="H61" s="14">
        <v>800</v>
      </c>
      <c r="I61" s="14">
        <f t="shared" si="0"/>
        <v>1600</v>
      </c>
      <c r="J61" s="13" t="s">
        <v>11</v>
      </c>
      <c r="K61" s="13" t="s">
        <v>30</v>
      </c>
      <c r="L61" s="15">
        <f t="shared" si="1"/>
        <v>0.1</v>
      </c>
      <c r="M61" s="13" t="s">
        <v>35</v>
      </c>
      <c r="N61" s="14">
        <f t="shared" si="2"/>
        <v>1440</v>
      </c>
    </row>
    <row r="62" spans="1:14" ht="12.75" x14ac:dyDescent="0.2">
      <c r="A62" s="13" t="s">
        <v>160</v>
      </c>
      <c r="B62" s="17">
        <v>45312</v>
      </c>
      <c r="C62" s="2" t="s">
        <v>25</v>
      </c>
      <c r="D62" s="2" t="s">
        <v>161</v>
      </c>
      <c r="E62" s="19">
        <v>11987654381</v>
      </c>
      <c r="F62" s="2" t="s">
        <v>23</v>
      </c>
      <c r="G62" s="13">
        <v>1</v>
      </c>
      <c r="H62" s="14">
        <v>2500</v>
      </c>
      <c r="I62" s="14">
        <f t="shared" si="0"/>
        <v>2500</v>
      </c>
      <c r="J62" s="13" t="s">
        <v>20</v>
      </c>
      <c r="K62" s="13" t="s">
        <v>27</v>
      </c>
      <c r="L62" s="15">
        <f t="shared" si="1"/>
        <v>0</v>
      </c>
      <c r="M62" s="13" t="s">
        <v>35</v>
      </c>
      <c r="N62" s="14">
        <f t="shared" si="2"/>
        <v>2500</v>
      </c>
    </row>
    <row r="63" spans="1:14" ht="12.75" x14ac:dyDescent="0.2">
      <c r="A63" s="13" t="s">
        <v>162</v>
      </c>
      <c r="B63" s="17">
        <v>45314</v>
      </c>
      <c r="C63" s="2" t="s">
        <v>25</v>
      </c>
      <c r="D63" s="2" t="s">
        <v>163</v>
      </c>
      <c r="E63" s="19">
        <v>11987654382</v>
      </c>
      <c r="F63" s="2" t="s">
        <v>21</v>
      </c>
      <c r="G63" s="13">
        <v>1</v>
      </c>
      <c r="H63" s="14">
        <v>4500</v>
      </c>
      <c r="I63" s="14">
        <f t="shared" si="0"/>
        <v>4500</v>
      </c>
      <c r="J63" s="13" t="s">
        <v>11</v>
      </c>
      <c r="K63" s="13" t="s">
        <v>30</v>
      </c>
      <c r="L63" s="15">
        <f t="shared" si="1"/>
        <v>0.1</v>
      </c>
      <c r="M63" s="13" t="s">
        <v>31</v>
      </c>
      <c r="N63" s="14">
        <f t="shared" si="2"/>
        <v>4050</v>
      </c>
    </row>
    <row r="64" spans="1:14" ht="12.75" x14ac:dyDescent="0.2">
      <c r="A64" s="13" t="s">
        <v>164</v>
      </c>
      <c r="B64" s="17">
        <v>45316</v>
      </c>
      <c r="C64" s="2" t="s">
        <v>25</v>
      </c>
      <c r="D64" s="2" t="s">
        <v>165</v>
      </c>
      <c r="E64" s="19">
        <v>11987654383</v>
      </c>
      <c r="F64" s="2" t="s">
        <v>6</v>
      </c>
      <c r="G64" s="13">
        <v>2</v>
      </c>
      <c r="H64" s="14">
        <v>150</v>
      </c>
      <c r="I64" s="14">
        <f t="shared" si="0"/>
        <v>300</v>
      </c>
      <c r="J64" s="13" t="s">
        <v>20</v>
      </c>
      <c r="K64" s="13" t="s">
        <v>27</v>
      </c>
      <c r="L64" s="15">
        <f t="shared" si="1"/>
        <v>0</v>
      </c>
      <c r="M64" s="13" t="s">
        <v>35</v>
      </c>
      <c r="N64" s="14">
        <f t="shared" si="2"/>
        <v>300</v>
      </c>
    </row>
    <row r="65" spans="1:14" ht="12.75" x14ac:dyDescent="0.2">
      <c r="A65" s="13" t="s">
        <v>166</v>
      </c>
      <c r="B65" s="17">
        <v>45318</v>
      </c>
      <c r="C65" s="2" t="s">
        <v>25</v>
      </c>
      <c r="D65" s="2" t="s">
        <v>167</v>
      </c>
      <c r="E65" s="19">
        <v>11987654384</v>
      </c>
      <c r="F65" s="2" t="s">
        <v>13</v>
      </c>
      <c r="G65" s="13">
        <v>1</v>
      </c>
      <c r="H65" s="14">
        <v>800</v>
      </c>
      <c r="I65" s="14">
        <f t="shared" si="0"/>
        <v>800</v>
      </c>
      <c r="J65" s="13" t="s">
        <v>11</v>
      </c>
      <c r="K65" s="13" t="s">
        <v>30</v>
      </c>
      <c r="L65" s="15">
        <f t="shared" si="1"/>
        <v>0.1</v>
      </c>
      <c r="M65" s="13" t="s">
        <v>35</v>
      </c>
      <c r="N65" s="14">
        <f t="shared" si="2"/>
        <v>720</v>
      </c>
    </row>
    <row r="66" spans="1:14" ht="12.75" x14ac:dyDescent="0.2">
      <c r="A66" s="13" t="s">
        <v>168</v>
      </c>
      <c r="B66" s="17">
        <v>45320</v>
      </c>
      <c r="C66" s="2" t="s">
        <v>25</v>
      </c>
      <c r="D66" s="2" t="s">
        <v>169</v>
      </c>
      <c r="E66" s="19">
        <v>11987654385</v>
      </c>
      <c r="F66" s="2" t="s">
        <v>23</v>
      </c>
      <c r="G66" s="13">
        <v>2</v>
      </c>
      <c r="H66" s="14">
        <v>2500</v>
      </c>
      <c r="I66" s="14">
        <f t="shared" si="0"/>
        <v>5000</v>
      </c>
      <c r="J66" s="13" t="s">
        <v>11</v>
      </c>
      <c r="K66" s="13" t="s">
        <v>30</v>
      </c>
      <c r="L66" s="15">
        <f t="shared" si="1"/>
        <v>0.1</v>
      </c>
      <c r="M66" s="13" t="s">
        <v>31</v>
      </c>
      <c r="N66" s="14">
        <f t="shared" si="2"/>
        <v>4500</v>
      </c>
    </row>
    <row r="67" spans="1:14" ht="12.75" x14ac:dyDescent="0.2">
      <c r="A67" s="13" t="s">
        <v>170</v>
      </c>
      <c r="B67" s="17">
        <v>45322</v>
      </c>
      <c r="C67" s="2" t="s">
        <v>25</v>
      </c>
      <c r="D67" s="2" t="s">
        <v>171</v>
      </c>
      <c r="E67" s="19">
        <v>11987654386</v>
      </c>
      <c r="F67" s="2" t="s">
        <v>24</v>
      </c>
      <c r="G67" s="13">
        <v>1</v>
      </c>
      <c r="H67" s="14">
        <v>200</v>
      </c>
      <c r="I67" s="14">
        <f t="shared" si="0"/>
        <v>200</v>
      </c>
      <c r="J67" s="13" t="s">
        <v>15</v>
      </c>
      <c r="K67" s="13" t="s">
        <v>27</v>
      </c>
      <c r="L67" s="15">
        <f t="shared" si="1"/>
        <v>0</v>
      </c>
      <c r="M67" s="13" t="s">
        <v>31</v>
      </c>
      <c r="N67" s="14">
        <f t="shared" si="2"/>
        <v>200</v>
      </c>
    </row>
    <row r="68" spans="1:14" ht="12.75" x14ac:dyDescent="0.2">
      <c r="A68" s="13" t="s">
        <v>172</v>
      </c>
      <c r="B68" s="17">
        <v>45324</v>
      </c>
      <c r="C68" s="2" t="s">
        <v>33</v>
      </c>
      <c r="D68" s="2" t="s">
        <v>173</v>
      </c>
      <c r="E68" s="19">
        <v>11987654387</v>
      </c>
      <c r="F68" s="2" t="s">
        <v>18</v>
      </c>
      <c r="G68" s="13">
        <v>3</v>
      </c>
      <c r="H68" s="14">
        <v>80</v>
      </c>
      <c r="I68" s="14">
        <f t="shared" si="0"/>
        <v>240</v>
      </c>
      <c r="J68" s="13" t="s">
        <v>20</v>
      </c>
      <c r="K68" s="13" t="s">
        <v>27</v>
      </c>
      <c r="L68" s="15">
        <f t="shared" si="1"/>
        <v>0</v>
      </c>
      <c r="M68" s="13" t="s">
        <v>35</v>
      </c>
      <c r="N68" s="14">
        <f t="shared" si="2"/>
        <v>240</v>
      </c>
    </row>
    <row r="69" spans="1:14" ht="12.75" x14ac:dyDescent="0.2">
      <c r="A69" s="13" t="s">
        <v>174</v>
      </c>
      <c r="B69" s="17">
        <v>45326</v>
      </c>
      <c r="C69" s="2" t="s">
        <v>33</v>
      </c>
      <c r="D69" s="2" t="s">
        <v>175</v>
      </c>
      <c r="E69" s="19">
        <v>11987654388</v>
      </c>
      <c r="F69" s="2" t="s">
        <v>21</v>
      </c>
      <c r="G69" s="13">
        <v>1</v>
      </c>
      <c r="H69" s="14">
        <v>4500</v>
      </c>
      <c r="I69" s="14">
        <f t="shared" si="0"/>
        <v>4500</v>
      </c>
      <c r="J69" s="13" t="s">
        <v>11</v>
      </c>
      <c r="K69" s="13" t="s">
        <v>30</v>
      </c>
      <c r="L69" s="15">
        <f t="shared" si="1"/>
        <v>0.1</v>
      </c>
      <c r="M69" s="13" t="s">
        <v>35</v>
      </c>
      <c r="N69" s="14">
        <f t="shared" si="2"/>
        <v>4050</v>
      </c>
    </row>
    <row r="70" spans="1:14" ht="12.75" x14ac:dyDescent="0.2">
      <c r="A70" s="13" t="s">
        <v>176</v>
      </c>
      <c r="B70" s="17">
        <v>45328</v>
      </c>
      <c r="C70" s="2" t="s">
        <v>33</v>
      </c>
      <c r="D70" s="2" t="s">
        <v>177</v>
      </c>
      <c r="E70" s="19">
        <v>11987654389</v>
      </c>
      <c r="F70" s="2" t="s">
        <v>6</v>
      </c>
      <c r="G70" s="13">
        <v>1</v>
      </c>
      <c r="H70" s="14">
        <v>150</v>
      </c>
      <c r="I70" s="14">
        <f t="shared" si="0"/>
        <v>150</v>
      </c>
      <c r="J70" s="13" t="s">
        <v>20</v>
      </c>
      <c r="K70" s="13" t="s">
        <v>27</v>
      </c>
      <c r="L70" s="15">
        <f t="shared" si="1"/>
        <v>0</v>
      </c>
      <c r="M70" s="13" t="s">
        <v>31</v>
      </c>
      <c r="N70" s="14">
        <f t="shared" si="2"/>
        <v>150</v>
      </c>
    </row>
    <row r="71" spans="1:14" ht="12.75" x14ac:dyDescent="0.2">
      <c r="A71" s="13" t="s">
        <v>178</v>
      </c>
      <c r="B71" s="17">
        <v>45330</v>
      </c>
      <c r="C71" s="2" t="s">
        <v>33</v>
      </c>
      <c r="D71" s="2" t="s">
        <v>179</v>
      </c>
      <c r="E71" s="19">
        <v>11987654390</v>
      </c>
      <c r="F71" s="2" t="s">
        <v>13</v>
      </c>
      <c r="G71" s="13">
        <v>2</v>
      </c>
      <c r="H71" s="14">
        <v>800</v>
      </c>
      <c r="I71" s="14">
        <f t="shared" si="0"/>
        <v>1600</v>
      </c>
      <c r="J71" s="13" t="s">
        <v>11</v>
      </c>
      <c r="K71" s="13" t="s">
        <v>30</v>
      </c>
      <c r="L71" s="15">
        <f t="shared" si="1"/>
        <v>0.1</v>
      </c>
      <c r="M71" s="13" t="s">
        <v>35</v>
      </c>
      <c r="N71" s="14">
        <f t="shared" si="2"/>
        <v>1440</v>
      </c>
    </row>
    <row r="72" spans="1:14" ht="12.75" x14ac:dyDescent="0.2">
      <c r="A72" s="13" t="s">
        <v>180</v>
      </c>
      <c r="B72" s="17">
        <v>45332</v>
      </c>
      <c r="C72" s="2" t="s">
        <v>33</v>
      </c>
      <c r="D72" s="2" t="s">
        <v>181</v>
      </c>
      <c r="E72" s="19">
        <v>11987654391</v>
      </c>
      <c r="F72" s="2" t="s">
        <v>23</v>
      </c>
      <c r="G72" s="13">
        <v>1</v>
      </c>
      <c r="H72" s="14">
        <v>2500</v>
      </c>
      <c r="I72" s="14">
        <f t="shared" si="0"/>
        <v>2500</v>
      </c>
      <c r="J72" s="13" t="s">
        <v>20</v>
      </c>
      <c r="K72" s="13" t="s">
        <v>27</v>
      </c>
      <c r="L72" s="15">
        <f t="shared" si="1"/>
        <v>0</v>
      </c>
      <c r="M72" s="13" t="s">
        <v>35</v>
      </c>
      <c r="N72" s="14">
        <f t="shared" si="2"/>
        <v>2500</v>
      </c>
    </row>
    <row r="73" spans="1:14" ht="12.75" x14ac:dyDescent="0.2">
      <c r="A73" s="13" t="s">
        <v>182</v>
      </c>
      <c r="B73" s="17">
        <v>45334</v>
      </c>
      <c r="C73" s="2" t="s">
        <v>33</v>
      </c>
      <c r="D73" s="2" t="s">
        <v>183</v>
      </c>
      <c r="E73" s="19">
        <v>11987654392</v>
      </c>
      <c r="F73" s="2" t="s">
        <v>21</v>
      </c>
      <c r="G73" s="13">
        <v>1</v>
      </c>
      <c r="H73" s="14">
        <v>4500</v>
      </c>
      <c r="I73" s="14">
        <f t="shared" si="0"/>
        <v>4500</v>
      </c>
      <c r="J73" s="13" t="s">
        <v>11</v>
      </c>
      <c r="K73" s="13" t="s">
        <v>30</v>
      </c>
      <c r="L73" s="15">
        <f t="shared" si="1"/>
        <v>0.1</v>
      </c>
      <c r="M73" s="13" t="s">
        <v>31</v>
      </c>
      <c r="N73" s="14">
        <f t="shared" si="2"/>
        <v>4050</v>
      </c>
    </row>
    <row r="74" spans="1:14" ht="12.75" x14ac:dyDescent="0.2">
      <c r="A74" s="13" t="s">
        <v>184</v>
      </c>
      <c r="B74" s="17">
        <v>45336</v>
      </c>
      <c r="C74" s="2" t="s">
        <v>33</v>
      </c>
      <c r="D74" s="2" t="s">
        <v>185</v>
      </c>
      <c r="E74" s="19">
        <v>11987654393</v>
      </c>
      <c r="F74" s="2" t="s">
        <v>6</v>
      </c>
      <c r="G74" s="13">
        <v>2</v>
      </c>
      <c r="H74" s="14">
        <v>150</v>
      </c>
      <c r="I74" s="14">
        <f t="shared" si="0"/>
        <v>300</v>
      </c>
      <c r="J74" s="13" t="s">
        <v>20</v>
      </c>
      <c r="K74" s="13" t="s">
        <v>27</v>
      </c>
      <c r="L74" s="15">
        <f t="shared" si="1"/>
        <v>0</v>
      </c>
      <c r="M74" s="13" t="s">
        <v>35</v>
      </c>
      <c r="N74" s="14">
        <f t="shared" si="2"/>
        <v>300</v>
      </c>
    </row>
    <row r="75" spans="1:14" ht="12.75" x14ac:dyDescent="0.2">
      <c r="A75" s="13" t="s">
        <v>186</v>
      </c>
      <c r="B75" s="17">
        <v>45338</v>
      </c>
      <c r="C75" s="2" t="s">
        <v>33</v>
      </c>
      <c r="D75" s="2" t="s">
        <v>187</v>
      </c>
      <c r="E75" s="19">
        <v>11987654394</v>
      </c>
      <c r="F75" s="2" t="s">
        <v>13</v>
      </c>
      <c r="G75" s="13">
        <v>1</v>
      </c>
      <c r="H75" s="14">
        <v>800</v>
      </c>
      <c r="I75" s="14">
        <f t="shared" si="0"/>
        <v>800</v>
      </c>
      <c r="J75" s="13" t="s">
        <v>11</v>
      </c>
      <c r="K75" s="13" t="s">
        <v>30</v>
      </c>
      <c r="L75" s="15">
        <f t="shared" si="1"/>
        <v>0.1</v>
      </c>
      <c r="M75" s="13" t="s">
        <v>35</v>
      </c>
      <c r="N75" s="14">
        <f t="shared" si="2"/>
        <v>720</v>
      </c>
    </row>
    <row r="76" spans="1:14" ht="12.75" x14ac:dyDescent="0.2">
      <c r="A76" s="13" t="s">
        <v>188</v>
      </c>
      <c r="B76" s="17">
        <v>45340</v>
      </c>
      <c r="C76" s="2" t="s">
        <v>33</v>
      </c>
      <c r="D76" s="2" t="s">
        <v>189</v>
      </c>
      <c r="E76" s="19">
        <v>11987654395</v>
      </c>
      <c r="F76" s="2" t="s">
        <v>23</v>
      </c>
      <c r="G76" s="13">
        <v>2</v>
      </c>
      <c r="H76" s="14">
        <v>2500</v>
      </c>
      <c r="I76" s="14">
        <f t="shared" si="0"/>
        <v>5000</v>
      </c>
      <c r="J76" s="13" t="s">
        <v>11</v>
      </c>
      <c r="K76" s="13" t="s">
        <v>30</v>
      </c>
      <c r="L76" s="15">
        <f t="shared" si="1"/>
        <v>0.1</v>
      </c>
      <c r="M76" s="13" t="s">
        <v>31</v>
      </c>
      <c r="N76" s="14">
        <f t="shared" si="2"/>
        <v>4500</v>
      </c>
    </row>
    <row r="77" spans="1:14" ht="12.75" x14ac:dyDescent="0.2">
      <c r="A77" s="13" t="s">
        <v>190</v>
      </c>
      <c r="B77" s="17">
        <v>45342</v>
      </c>
      <c r="C77" s="2" t="s">
        <v>33</v>
      </c>
      <c r="D77" s="2" t="s">
        <v>191</v>
      </c>
      <c r="E77" s="19">
        <v>11987654396</v>
      </c>
      <c r="F77" s="2" t="s">
        <v>24</v>
      </c>
      <c r="G77" s="13">
        <v>1</v>
      </c>
      <c r="H77" s="14">
        <v>200</v>
      </c>
      <c r="I77" s="14">
        <f t="shared" si="0"/>
        <v>200</v>
      </c>
      <c r="J77" s="13" t="s">
        <v>15</v>
      </c>
      <c r="K77" s="13" t="s">
        <v>27</v>
      </c>
      <c r="L77" s="15">
        <f t="shared" si="1"/>
        <v>0</v>
      </c>
      <c r="M77" s="13" t="s">
        <v>31</v>
      </c>
      <c r="N77" s="14">
        <f t="shared" si="2"/>
        <v>200</v>
      </c>
    </row>
    <row r="78" spans="1:14" ht="12.75" x14ac:dyDescent="0.2">
      <c r="A78" s="13" t="s">
        <v>192</v>
      </c>
      <c r="B78" s="17">
        <v>45344</v>
      </c>
      <c r="C78" s="2" t="s">
        <v>33</v>
      </c>
      <c r="D78" s="2" t="s">
        <v>193</v>
      </c>
      <c r="E78" s="19">
        <v>11987654397</v>
      </c>
      <c r="F78" s="2" t="s">
        <v>18</v>
      </c>
      <c r="G78" s="13">
        <v>3</v>
      </c>
      <c r="H78" s="14">
        <v>80</v>
      </c>
      <c r="I78" s="14">
        <f t="shared" si="0"/>
        <v>240</v>
      </c>
      <c r="J78" s="13" t="s">
        <v>20</v>
      </c>
      <c r="K78" s="13" t="s">
        <v>27</v>
      </c>
      <c r="L78" s="15">
        <f t="shared" si="1"/>
        <v>0</v>
      </c>
      <c r="M78" s="13" t="s">
        <v>35</v>
      </c>
      <c r="N78" s="14">
        <f t="shared" si="2"/>
        <v>240</v>
      </c>
    </row>
    <row r="79" spans="1:14" ht="12.75" x14ac:dyDescent="0.2">
      <c r="A79" s="13" t="s">
        <v>194</v>
      </c>
      <c r="B79" s="17">
        <v>45346</v>
      </c>
      <c r="C79" s="2" t="s">
        <v>33</v>
      </c>
      <c r="D79" s="2" t="s">
        <v>195</v>
      </c>
      <c r="E79" s="19">
        <v>11987654398</v>
      </c>
      <c r="F79" s="2" t="s">
        <v>21</v>
      </c>
      <c r="G79" s="13">
        <v>1</v>
      </c>
      <c r="H79" s="14">
        <v>4500</v>
      </c>
      <c r="I79" s="14">
        <f t="shared" si="0"/>
        <v>4500</v>
      </c>
      <c r="J79" s="13" t="s">
        <v>11</v>
      </c>
      <c r="K79" s="13" t="s">
        <v>30</v>
      </c>
      <c r="L79" s="15">
        <f t="shared" si="1"/>
        <v>0.1</v>
      </c>
      <c r="M79" s="13" t="s">
        <v>35</v>
      </c>
      <c r="N79" s="14">
        <f t="shared" si="2"/>
        <v>4050</v>
      </c>
    </row>
    <row r="80" spans="1:14" ht="12.75" x14ac:dyDescent="0.2">
      <c r="A80" s="13" t="s">
        <v>196</v>
      </c>
      <c r="B80" s="17">
        <v>45348</v>
      </c>
      <c r="C80" s="2" t="s">
        <v>33</v>
      </c>
      <c r="D80" s="2" t="s">
        <v>197</v>
      </c>
      <c r="E80" s="19">
        <v>11987654399</v>
      </c>
      <c r="F80" s="2" t="s">
        <v>6</v>
      </c>
      <c r="G80" s="13">
        <v>1</v>
      </c>
      <c r="H80" s="14">
        <v>150</v>
      </c>
      <c r="I80" s="14">
        <f t="shared" si="0"/>
        <v>150</v>
      </c>
      <c r="J80" s="13" t="s">
        <v>20</v>
      </c>
      <c r="K80" s="13" t="s">
        <v>27</v>
      </c>
      <c r="L80" s="15">
        <f t="shared" si="1"/>
        <v>0</v>
      </c>
      <c r="M80" s="13" t="s">
        <v>31</v>
      </c>
      <c r="N80" s="14">
        <f t="shared" si="2"/>
        <v>150</v>
      </c>
    </row>
    <row r="81" spans="1:14" ht="12.75" x14ac:dyDescent="0.2">
      <c r="A81" s="13" t="s">
        <v>198</v>
      </c>
      <c r="B81" s="17">
        <v>45350</v>
      </c>
      <c r="C81" s="2" t="s">
        <v>33</v>
      </c>
      <c r="D81" s="2" t="s">
        <v>199</v>
      </c>
      <c r="E81" s="19">
        <v>11987654400</v>
      </c>
      <c r="F81" s="2" t="s">
        <v>13</v>
      </c>
      <c r="G81" s="13">
        <v>2</v>
      </c>
      <c r="H81" s="14">
        <v>800</v>
      </c>
      <c r="I81" s="14">
        <f t="shared" si="0"/>
        <v>1600</v>
      </c>
      <c r="J81" s="13" t="s">
        <v>11</v>
      </c>
      <c r="K81" s="13" t="s">
        <v>30</v>
      </c>
      <c r="L81" s="15">
        <f t="shared" si="1"/>
        <v>0.1</v>
      </c>
      <c r="M81" s="13" t="s">
        <v>35</v>
      </c>
      <c r="N81" s="14">
        <f t="shared" si="2"/>
        <v>1440</v>
      </c>
    </row>
    <row r="82" spans="1:14" ht="12.75" x14ac:dyDescent="0.2">
      <c r="A82" s="13" t="s">
        <v>200</v>
      </c>
      <c r="B82" s="17">
        <v>45352</v>
      </c>
      <c r="C82" s="2" t="s">
        <v>39</v>
      </c>
      <c r="D82" s="2" t="s">
        <v>201</v>
      </c>
      <c r="E82" s="19">
        <v>11987654401</v>
      </c>
      <c r="F82" s="2" t="s">
        <v>23</v>
      </c>
      <c r="G82" s="13">
        <v>1</v>
      </c>
      <c r="H82" s="14">
        <v>2500</v>
      </c>
      <c r="I82" s="14">
        <f t="shared" si="0"/>
        <v>2500</v>
      </c>
      <c r="J82" s="13" t="s">
        <v>20</v>
      </c>
      <c r="K82" s="13" t="s">
        <v>27</v>
      </c>
      <c r="L82" s="15">
        <f t="shared" si="1"/>
        <v>0</v>
      </c>
      <c r="M82" s="13" t="s">
        <v>35</v>
      </c>
      <c r="N82" s="14">
        <f t="shared" si="2"/>
        <v>2500</v>
      </c>
    </row>
    <row r="83" spans="1:14" ht="12.75" x14ac:dyDescent="0.2">
      <c r="A83" s="13" t="s">
        <v>202</v>
      </c>
      <c r="B83" s="17">
        <v>45354</v>
      </c>
      <c r="C83" s="2" t="s">
        <v>39</v>
      </c>
      <c r="D83" s="2" t="s">
        <v>203</v>
      </c>
      <c r="E83" s="19">
        <v>11987654402</v>
      </c>
      <c r="F83" s="2" t="s">
        <v>21</v>
      </c>
      <c r="G83" s="13">
        <v>1</v>
      </c>
      <c r="H83" s="14">
        <v>4500</v>
      </c>
      <c r="I83" s="14">
        <f t="shared" si="0"/>
        <v>4500</v>
      </c>
      <c r="J83" s="13" t="s">
        <v>11</v>
      </c>
      <c r="K83" s="13" t="s">
        <v>30</v>
      </c>
      <c r="L83" s="15">
        <f t="shared" si="1"/>
        <v>0.1</v>
      </c>
      <c r="M83" s="13" t="s">
        <v>31</v>
      </c>
      <c r="N83" s="14">
        <f t="shared" si="2"/>
        <v>4050</v>
      </c>
    </row>
    <row r="84" spans="1:14" ht="12.75" x14ac:dyDescent="0.2">
      <c r="A84" s="13" t="s">
        <v>204</v>
      </c>
      <c r="B84" s="17">
        <v>45356</v>
      </c>
      <c r="C84" s="2" t="s">
        <v>39</v>
      </c>
      <c r="D84" s="2" t="s">
        <v>205</v>
      </c>
      <c r="E84" s="19">
        <v>11987654403</v>
      </c>
      <c r="F84" s="2" t="s">
        <v>6</v>
      </c>
      <c r="G84" s="13">
        <v>2</v>
      </c>
      <c r="H84" s="14">
        <v>150</v>
      </c>
      <c r="I84" s="14">
        <f t="shared" si="0"/>
        <v>300</v>
      </c>
      <c r="J84" s="13" t="s">
        <v>20</v>
      </c>
      <c r="K84" s="13" t="s">
        <v>27</v>
      </c>
      <c r="L84" s="15">
        <f t="shared" si="1"/>
        <v>0</v>
      </c>
      <c r="M84" s="13" t="s">
        <v>35</v>
      </c>
      <c r="N84" s="14">
        <f t="shared" si="2"/>
        <v>300</v>
      </c>
    </row>
    <row r="85" spans="1:14" ht="12.75" x14ac:dyDescent="0.2">
      <c r="A85" s="13" t="s">
        <v>206</v>
      </c>
      <c r="B85" s="17">
        <v>45358</v>
      </c>
      <c r="C85" s="2" t="s">
        <v>39</v>
      </c>
      <c r="D85" s="2" t="s">
        <v>207</v>
      </c>
      <c r="E85" s="19">
        <v>11987654404</v>
      </c>
      <c r="F85" s="2" t="s">
        <v>13</v>
      </c>
      <c r="G85" s="13">
        <v>1</v>
      </c>
      <c r="H85" s="14">
        <v>800</v>
      </c>
      <c r="I85" s="14">
        <f t="shared" si="0"/>
        <v>800</v>
      </c>
      <c r="J85" s="13" t="s">
        <v>11</v>
      </c>
      <c r="K85" s="13" t="s">
        <v>30</v>
      </c>
      <c r="L85" s="15">
        <f t="shared" si="1"/>
        <v>0.1</v>
      </c>
      <c r="M85" s="13" t="s">
        <v>35</v>
      </c>
      <c r="N85" s="14">
        <f t="shared" si="2"/>
        <v>720</v>
      </c>
    </row>
    <row r="86" spans="1:14" ht="12.75" x14ac:dyDescent="0.2">
      <c r="A86" s="13" t="s">
        <v>208</v>
      </c>
      <c r="B86" s="17">
        <v>45360</v>
      </c>
      <c r="C86" s="2" t="s">
        <v>39</v>
      </c>
      <c r="D86" s="2" t="s">
        <v>209</v>
      </c>
      <c r="E86" s="19">
        <v>11987654405</v>
      </c>
      <c r="F86" s="2" t="s">
        <v>23</v>
      </c>
      <c r="G86" s="13">
        <v>2</v>
      </c>
      <c r="H86" s="14">
        <v>2500</v>
      </c>
      <c r="I86" s="14">
        <f t="shared" si="0"/>
        <v>5000</v>
      </c>
      <c r="J86" s="13" t="s">
        <v>11</v>
      </c>
      <c r="K86" s="13" t="s">
        <v>30</v>
      </c>
      <c r="L86" s="15">
        <f t="shared" si="1"/>
        <v>0.1</v>
      </c>
      <c r="M86" s="13" t="s">
        <v>31</v>
      </c>
      <c r="N86" s="14">
        <f t="shared" si="2"/>
        <v>4500</v>
      </c>
    </row>
    <row r="87" spans="1:14" ht="12.75" x14ac:dyDescent="0.2">
      <c r="A87" s="13" t="s">
        <v>210</v>
      </c>
      <c r="B87" s="17">
        <v>45362</v>
      </c>
      <c r="C87" s="2" t="s">
        <v>39</v>
      </c>
      <c r="D87" s="2" t="s">
        <v>211</v>
      </c>
      <c r="E87" s="19">
        <v>11987654406</v>
      </c>
      <c r="F87" s="2" t="s">
        <v>24</v>
      </c>
      <c r="G87" s="13">
        <v>1</v>
      </c>
      <c r="H87" s="14">
        <v>200</v>
      </c>
      <c r="I87" s="14">
        <f t="shared" si="0"/>
        <v>200</v>
      </c>
      <c r="J87" s="13" t="s">
        <v>15</v>
      </c>
      <c r="K87" s="13" t="s">
        <v>27</v>
      </c>
      <c r="L87" s="15">
        <f t="shared" si="1"/>
        <v>0</v>
      </c>
      <c r="M87" s="13" t="s">
        <v>31</v>
      </c>
      <c r="N87" s="14">
        <f t="shared" si="2"/>
        <v>200</v>
      </c>
    </row>
    <row r="88" spans="1:14" ht="12.75" x14ac:dyDescent="0.2">
      <c r="A88" s="13" t="s">
        <v>212</v>
      </c>
      <c r="B88" s="17">
        <v>45364</v>
      </c>
      <c r="C88" s="2" t="s">
        <v>39</v>
      </c>
      <c r="D88" s="2" t="s">
        <v>213</v>
      </c>
      <c r="E88" s="19">
        <v>11987654407</v>
      </c>
      <c r="F88" s="2" t="s">
        <v>18</v>
      </c>
      <c r="G88" s="13">
        <v>3</v>
      </c>
      <c r="H88" s="14">
        <v>80</v>
      </c>
      <c r="I88" s="14">
        <f t="shared" si="0"/>
        <v>240</v>
      </c>
      <c r="J88" s="13" t="s">
        <v>20</v>
      </c>
      <c r="K88" s="13" t="s">
        <v>27</v>
      </c>
      <c r="L88" s="15">
        <f t="shared" si="1"/>
        <v>0</v>
      </c>
      <c r="M88" s="13" t="s">
        <v>35</v>
      </c>
      <c r="N88" s="14">
        <f t="shared" si="2"/>
        <v>240</v>
      </c>
    </row>
    <row r="89" spans="1:14" ht="12.75" x14ac:dyDescent="0.2">
      <c r="A89" s="13" t="s">
        <v>214</v>
      </c>
      <c r="B89" s="17">
        <v>45366</v>
      </c>
      <c r="C89" s="2" t="s">
        <v>39</v>
      </c>
      <c r="D89" s="2" t="s">
        <v>215</v>
      </c>
      <c r="E89" s="19">
        <v>11987654408</v>
      </c>
      <c r="F89" s="2" t="s">
        <v>21</v>
      </c>
      <c r="G89" s="13">
        <v>1</v>
      </c>
      <c r="H89" s="14">
        <v>4500</v>
      </c>
      <c r="I89" s="14">
        <f t="shared" si="0"/>
        <v>4500</v>
      </c>
      <c r="J89" s="13" t="s">
        <v>11</v>
      </c>
      <c r="K89" s="13" t="s">
        <v>30</v>
      </c>
      <c r="L89" s="15">
        <f t="shared" si="1"/>
        <v>0.1</v>
      </c>
      <c r="M89" s="13" t="s">
        <v>35</v>
      </c>
      <c r="N89" s="14">
        <f t="shared" si="2"/>
        <v>4050</v>
      </c>
    </row>
    <row r="90" spans="1:14" ht="12.75" x14ac:dyDescent="0.2">
      <c r="A90" s="13" t="s">
        <v>216</v>
      </c>
      <c r="B90" s="17">
        <v>45368</v>
      </c>
      <c r="C90" s="2" t="s">
        <v>39</v>
      </c>
      <c r="D90" s="2" t="s">
        <v>217</v>
      </c>
      <c r="E90" s="19">
        <v>11987654409</v>
      </c>
      <c r="F90" s="2" t="s">
        <v>6</v>
      </c>
      <c r="G90" s="13">
        <v>1</v>
      </c>
      <c r="H90" s="14">
        <v>150</v>
      </c>
      <c r="I90" s="14">
        <f t="shared" si="0"/>
        <v>150</v>
      </c>
      <c r="J90" s="13" t="s">
        <v>20</v>
      </c>
      <c r="K90" s="13" t="s">
        <v>27</v>
      </c>
      <c r="L90" s="15">
        <f t="shared" si="1"/>
        <v>0</v>
      </c>
      <c r="M90" s="13" t="s">
        <v>31</v>
      </c>
      <c r="N90" s="14">
        <f t="shared" si="2"/>
        <v>150</v>
      </c>
    </row>
    <row r="91" spans="1:14" ht="12.75" x14ac:dyDescent="0.2">
      <c r="A91" s="13" t="s">
        <v>218</v>
      </c>
      <c r="B91" s="17">
        <v>45370</v>
      </c>
      <c r="C91" s="2" t="s">
        <v>39</v>
      </c>
      <c r="D91" s="2" t="s">
        <v>219</v>
      </c>
      <c r="E91" s="19">
        <v>11987654410</v>
      </c>
      <c r="F91" s="2" t="s">
        <v>13</v>
      </c>
      <c r="G91" s="13">
        <v>2</v>
      </c>
      <c r="H91" s="14">
        <v>800</v>
      </c>
      <c r="I91" s="14">
        <f t="shared" si="0"/>
        <v>1600</v>
      </c>
      <c r="J91" s="13" t="s">
        <v>11</v>
      </c>
      <c r="K91" s="13" t="s">
        <v>30</v>
      </c>
      <c r="L91" s="15">
        <f t="shared" si="1"/>
        <v>0.1</v>
      </c>
      <c r="M91" s="13" t="s">
        <v>35</v>
      </c>
      <c r="N91" s="14">
        <f t="shared" si="2"/>
        <v>1440</v>
      </c>
    </row>
    <row r="92" spans="1:14" ht="12.75" x14ac:dyDescent="0.2">
      <c r="A92" s="13" t="s">
        <v>220</v>
      </c>
      <c r="B92" s="17">
        <v>45372</v>
      </c>
      <c r="C92" s="2" t="s">
        <v>39</v>
      </c>
      <c r="D92" s="2" t="s">
        <v>221</v>
      </c>
      <c r="E92" s="19">
        <v>11987654411</v>
      </c>
      <c r="F92" s="2" t="s">
        <v>23</v>
      </c>
      <c r="G92" s="13">
        <v>1</v>
      </c>
      <c r="H92" s="14">
        <v>2500</v>
      </c>
      <c r="I92" s="14">
        <f t="shared" si="0"/>
        <v>2500</v>
      </c>
      <c r="J92" s="13" t="s">
        <v>20</v>
      </c>
      <c r="K92" s="13" t="s">
        <v>27</v>
      </c>
      <c r="L92" s="15">
        <f t="shared" si="1"/>
        <v>0</v>
      </c>
      <c r="M92" s="13" t="s">
        <v>35</v>
      </c>
      <c r="N92" s="14">
        <f t="shared" si="2"/>
        <v>2500</v>
      </c>
    </row>
    <row r="93" spans="1:14" ht="12.75" x14ac:dyDescent="0.2">
      <c r="A93" s="13" t="s">
        <v>222</v>
      </c>
      <c r="B93" s="17">
        <v>45374</v>
      </c>
      <c r="C93" s="2" t="s">
        <v>39</v>
      </c>
      <c r="D93" s="2" t="s">
        <v>223</v>
      </c>
      <c r="E93" s="19">
        <v>11987654412</v>
      </c>
      <c r="F93" s="2" t="s">
        <v>21</v>
      </c>
      <c r="G93" s="13">
        <v>1</v>
      </c>
      <c r="H93" s="14">
        <v>4500</v>
      </c>
      <c r="I93" s="14">
        <f t="shared" si="0"/>
        <v>4500</v>
      </c>
      <c r="J93" s="13" t="s">
        <v>11</v>
      </c>
      <c r="K93" s="13" t="s">
        <v>30</v>
      </c>
      <c r="L93" s="15">
        <f t="shared" si="1"/>
        <v>0.1</v>
      </c>
      <c r="M93" s="13" t="s">
        <v>31</v>
      </c>
      <c r="N93" s="14">
        <f t="shared" si="2"/>
        <v>4050</v>
      </c>
    </row>
    <row r="94" spans="1:14" ht="12.75" x14ac:dyDescent="0.2">
      <c r="A94" s="13" t="s">
        <v>224</v>
      </c>
      <c r="B94" s="17">
        <v>45376</v>
      </c>
      <c r="C94" s="2" t="s">
        <v>39</v>
      </c>
      <c r="D94" s="2" t="s">
        <v>225</v>
      </c>
      <c r="E94" s="19">
        <v>11987654413</v>
      </c>
      <c r="F94" s="2" t="s">
        <v>6</v>
      </c>
      <c r="G94" s="13">
        <v>2</v>
      </c>
      <c r="H94" s="14">
        <v>150</v>
      </c>
      <c r="I94" s="14">
        <f t="shared" si="0"/>
        <v>300</v>
      </c>
      <c r="J94" s="13" t="s">
        <v>20</v>
      </c>
      <c r="K94" s="13" t="s">
        <v>27</v>
      </c>
      <c r="L94" s="15">
        <f t="shared" si="1"/>
        <v>0</v>
      </c>
      <c r="M94" s="13" t="s">
        <v>35</v>
      </c>
      <c r="N94" s="14">
        <f t="shared" si="2"/>
        <v>300</v>
      </c>
    </row>
    <row r="95" spans="1:14" ht="12.75" x14ac:dyDescent="0.2">
      <c r="A95" s="13" t="s">
        <v>226</v>
      </c>
      <c r="B95" s="17">
        <v>45378</v>
      </c>
      <c r="C95" s="2" t="s">
        <v>39</v>
      </c>
      <c r="D95" s="2" t="s">
        <v>227</v>
      </c>
      <c r="E95" s="19">
        <v>11987654414</v>
      </c>
      <c r="F95" s="2" t="s">
        <v>13</v>
      </c>
      <c r="G95" s="13">
        <v>1</v>
      </c>
      <c r="H95" s="14">
        <v>800</v>
      </c>
      <c r="I95" s="14">
        <f t="shared" si="0"/>
        <v>800</v>
      </c>
      <c r="J95" s="13" t="s">
        <v>11</v>
      </c>
      <c r="K95" s="13" t="s">
        <v>30</v>
      </c>
      <c r="L95" s="15">
        <f t="shared" si="1"/>
        <v>0.1</v>
      </c>
      <c r="M95" s="13" t="s">
        <v>35</v>
      </c>
      <c r="N95" s="14">
        <f t="shared" si="2"/>
        <v>720</v>
      </c>
    </row>
    <row r="96" spans="1:14" ht="12.75" x14ac:dyDescent="0.2">
      <c r="A96" s="13" t="s">
        <v>228</v>
      </c>
      <c r="B96" s="17">
        <v>45380</v>
      </c>
      <c r="C96" s="2" t="s">
        <v>39</v>
      </c>
      <c r="D96" s="2" t="s">
        <v>229</v>
      </c>
      <c r="E96" s="19">
        <v>11987654415</v>
      </c>
      <c r="F96" s="2" t="s">
        <v>23</v>
      </c>
      <c r="G96" s="13">
        <v>2</v>
      </c>
      <c r="H96" s="14">
        <v>2500</v>
      </c>
      <c r="I96" s="14">
        <f t="shared" si="0"/>
        <v>5000</v>
      </c>
      <c r="J96" s="13" t="s">
        <v>11</v>
      </c>
      <c r="K96" s="13" t="s">
        <v>30</v>
      </c>
      <c r="L96" s="15">
        <f t="shared" si="1"/>
        <v>0.1</v>
      </c>
      <c r="M96" s="13" t="s">
        <v>31</v>
      </c>
      <c r="N96" s="14">
        <f t="shared" si="2"/>
        <v>4500</v>
      </c>
    </row>
    <row r="97" spans="1:14" ht="12.75" x14ac:dyDescent="0.2">
      <c r="A97" s="13" t="s">
        <v>230</v>
      </c>
      <c r="B97" s="17">
        <v>45382</v>
      </c>
      <c r="C97" s="2" t="s">
        <v>39</v>
      </c>
      <c r="D97" s="2" t="s">
        <v>231</v>
      </c>
      <c r="E97" s="19">
        <v>11987654416</v>
      </c>
      <c r="F97" s="2" t="s">
        <v>24</v>
      </c>
      <c r="G97" s="13">
        <v>1</v>
      </c>
      <c r="H97" s="14">
        <v>200</v>
      </c>
      <c r="I97" s="14">
        <f t="shared" si="0"/>
        <v>200</v>
      </c>
      <c r="J97" s="13" t="s">
        <v>15</v>
      </c>
      <c r="K97" s="13" t="s">
        <v>27</v>
      </c>
      <c r="L97" s="15">
        <f t="shared" si="1"/>
        <v>0</v>
      </c>
      <c r="M97" s="13" t="s">
        <v>31</v>
      </c>
      <c r="N97" s="14">
        <f t="shared" si="2"/>
        <v>200</v>
      </c>
    </row>
    <row r="98" spans="1:14" ht="12.75" x14ac:dyDescent="0.2">
      <c r="A98" s="13" t="s">
        <v>232</v>
      </c>
      <c r="B98" s="17">
        <v>45384</v>
      </c>
      <c r="C98" s="2" t="s">
        <v>44</v>
      </c>
      <c r="D98" s="2" t="s">
        <v>233</v>
      </c>
      <c r="E98" s="19">
        <v>11987654417</v>
      </c>
      <c r="F98" s="2" t="s">
        <v>18</v>
      </c>
      <c r="G98" s="13">
        <v>3</v>
      </c>
      <c r="H98" s="14">
        <v>80</v>
      </c>
      <c r="I98" s="14">
        <f t="shared" si="0"/>
        <v>240</v>
      </c>
      <c r="J98" s="13" t="s">
        <v>20</v>
      </c>
      <c r="K98" s="13" t="s">
        <v>27</v>
      </c>
      <c r="L98" s="15">
        <f t="shared" si="1"/>
        <v>0</v>
      </c>
      <c r="M98" s="13" t="s">
        <v>35</v>
      </c>
      <c r="N98" s="14">
        <f t="shared" si="2"/>
        <v>240</v>
      </c>
    </row>
    <row r="99" spans="1:14" ht="12.75" x14ac:dyDescent="0.2">
      <c r="A99" s="13" t="s">
        <v>234</v>
      </c>
      <c r="B99" s="17">
        <v>45386</v>
      </c>
      <c r="C99" s="2" t="s">
        <v>44</v>
      </c>
      <c r="D99" s="2" t="s">
        <v>235</v>
      </c>
      <c r="E99" s="19">
        <v>11987654418</v>
      </c>
      <c r="F99" s="2" t="s">
        <v>21</v>
      </c>
      <c r="G99" s="13">
        <v>1</v>
      </c>
      <c r="H99" s="14">
        <v>4500</v>
      </c>
      <c r="I99" s="14">
        <f t="shared" si="0"/>
        <v>4500</v>
      </c>
      <c r="J99" s="13" t="s">
        <v>11</v>
      </c>
      <c r="K99" s="13" t="s">
        <v>30</v>
      </c>
      <c r="L99" s="15">
        <f t="shared" si="1"/>
        <v>0.1</v>
      </c>
      <c r="M99" s="13" t="s">
        <v>35</v>
      </c>
      <c r="N99" s="14">
        <f t="shared" si="2"/>
        <v>4050</v>
      </c>
    </row>
    <row r="100" spans="1:14" ht="12.75" x14ac:dyDescent="0.2">
      <c r="A100" s="13" t="s">
        <v>236</v>
      </c>
      <c r="B100" s="17">
        <v>45388</v>
      </c>
      <c r="C100" s="2" t="s">
        <v>44</v>
      </c>
      <c r="D100" s="2" t="s">
        <v>237</v>
      </c>
      <c r="E100" s="19">
        <v>11987654419</v>
      </c>
      <c r="F100" s="2" t="s">
        <v>6</v>
      </c>
      <c r="G100" s="13">
        <v>1</v>
      </c>
      <c r="H100" s="14">
        <v>150</v>
      </c>
      <c r="I100" s="14">
        <f t="shared" si="0"/>
        <v>150</v>
      </c>
      <c r="J100" s="13" t="s">
        <v>20</v>
      </c>
      <c r="K100" s="13" t="s">
        <v>27</v>
      </c>
      <c r="L100" s="15">
        <f t="shared" si="1"/>
        <v>0</v>
      </c>
      <c r="M100" s="13" t="s">
        <v>31</v>
      </c>
      <c r="N100" s="14">
        <f t="shared" si="2"/>
        <v>150</v>
      </c>
    </row>
    <row r="101" spans="1:14" ht="12.75" x14ac:dyDescent="0.2">
      <c r="A101" s="13" t="s">
        <v>238</v>
      </c>
      <c r="B101" s="17">
        <v>45390</v>
      </c>
      <c r="C101" s="2" t="s">
        <v>44</v>
      </c>
      <c r="D101" s="2" t="s">
        <v>239</v>
      </c>
      <c r="E101" s="19">
        <v>11987654420</v>
      </c>
      <c r="F101" s="2" t="s">
        <v>13</v>
      </c>
      <c r="G101" s="13">
        <v>2</v>
      </c>
      <c r="H101" s="14">
        <v>800</v>
      </c>
      <c r="I101" s="14">
        <f t="shared" si="0"/>
        <v>1600</v>
      </c>
      <c r="J101" s="13" t="s">
        <v>11</v>
      </c>
      <c r="K101" s="13" t="s">
        <v>30</v>
      </c>
      <c r="L101" s="15">
        <f t="shared" si="1"/>
        <v>0.1</v>
      </c>
      <c r="M101" s="13" t="s">
        <v>35</v>
      </c>
      <c r="N101" s="14">
        <f t="shared" si="2"/>
        <v>1440</v>
      </c>
    </row>
  </sheetData>
  <customSheetViews>
    <customSheetView guid="{3DEC6B1A-B214-4229-A014-2FD05C8D2DE0}" filter="1" showAutoFilter="1">
      <pageMargins left="0.511811024" right="0.511811024" top="0.78740157499999996" bottom="0.78740157499999996" header="0.31496062000000002" footer="0.31496062000000002"/>
      <autoFilter ref="A1:N101" xr:uid="{EF5A731E-38B3-4723-950F-0C69F52C5DB6}"/>
    </customSheetView>
  </customSheetViews>
  <dataValidations count="3">
    <dataValidation type="list" allowBlank="1" sqref="K2:K21" xr:uid="{00000000-0002-0000-0000-000000000000}">
      <formula1>"sim,não"</formula1>
    </dataValidation>
    <dataValidation type="list" allowBlank="1" sqref="M2:M21" xr:uid="{00000000-0002-0000-0000-000001000000}">
      <formula1>"retirada,envio"</formula1>
    </dataValidation>
    <dataValidation type="list" allowBlank="1" sqref="J2:J21" xr:uid="{00000000-0002-0000-0000-000002000000}">
      <formula1>"dinheiro,cartão,pix"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abSelected="1" workbookViewId="0">
      <selection activeCell="A24" sqref="A24"/>
    </sheetView>
  </sheetViews>
  <sheetFormatPr defaultColWidth="12.5703125" defaultRowHeight="15.75" customHeight="1" x14ac:dyDescent="0.2"/>
  <cols>
    <col min="1" max="1" width="61.42578125" customWidth="1"/>
  </cols>
  <sheetData>
    <row r="1" spans="1:26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/>
      <c r="B2" s="4" t="s">
        <v>240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2:O3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"/>
  <sheetViews>
    <sheetView workbookViewId="0"/>
  </sheetViews>
  <sheetFormatPr defaultColWidth="12.5703125" defaultRowHeight="15.75" customHeight="1" x14ac:dyDescent="0.2"/>
  <sheetData>
    <row r="1" spans="1:6" x14ac:dyDescent="0.2">
      <c r="A1" s="6" t="s">
        <v>0</v>
      </c>
      <c r="B1" t="s">
        <v>1</v>
      </c>
      <c r="E1" s="6" t="s">
        <v>3</v>
      </c>
      <c r="F1" t="s">
        <v>1</v>
      </c>
    </row>
    <row r="2" spans="1:6" x14ac:dyDescent="0.2">
      <c r="A2" t="s">
        <v>6</v>
      </c>
      <c r="B2" s="7">
        <v>4455</v>
      </c>
      <c r="E2" t="s">
        <v>11</v>
      </c>
      <c r="F2" s="7">
        <v>141597</v>
      </c>
    </row>
    <row r="3" spans="1:6" x14ac:dyDescent="0.2">
      <c r="A3" t="s">
        <v>13</v>
      </c>
      <c r="B3" s="7">
        <v>20240</v>
      </c>
      <c r="E3" t="s">
        <v>15</v>
      </c>
      <c r="F3" s="7">
        <v>5100</v>
      </c>
    </row>
    <row r="4" spans="1:6" x14ac:dyDescent="0.2">
      <c r="A4" t="s">
        <v>18</v>
      </c>
      <c r="B4" s="7">
        <v>2392</v>
      </c>
      <c r="E4" t="s">
        <v>20</v>
      </c>
      <c r="F4" s="7">
        <v>36270</v>
      </c>
    </row>
    <row r="5" spans="1:6" x14ac:dyDescent="0.2">
      <c r="A5" t="s">
        <v>21</v>
      </c>
      <c r="B5" s="7">
        <v>85500</v>
      </c>
      <c r="E5" t="s">
        <v>241</v>
      </c>
      <c r="F5" s="7">
        <v>182967</v>
      </c>
    </row>
    <row r="6" spans="1:6" x14ac:dyDescent="0.2">
      <c r="A6" t="s">
        <v>23</v>
      </c>
      <c r="B6" s="7">
        <v>68000</v>
      </c>
    </row>
    <row r="7" spans="1:6" x14ac:dyDescent="0.2">
      <c r="A7" t="s">
        <v>24</v>
      </c>
      <c r="B7" s="7">
        <v>2380</v>
      </c>
    </row>
    <row r="8" spans="1:6" x14ac:dyDescent="0.2">
      <c r="A8" t="s">
        <v>241</v>
      </c>
      <c r="B8" s="7">
        <v>182967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Gomes</cp:lastModifiedBy>
  <dcterms:created xsi:type="dcterms:W3CDTF">2026-09-18T19:02:42Z</dcterms:created>
  <dcterms:modified xsi:type="dcterms:W3CDTF">2026-09-18T19:02:42Z</dcterms:modified>
</cp:coreProperties>
</file>